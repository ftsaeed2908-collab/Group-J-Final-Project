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ICT  LAB\"/>
    </mc:Choice>
  </mc:AlternateContent>
  <xr:revisionPtr revIDLastSave="0" documentId="13_ncr:1_{E7509A0F-5701-485D-BD86-2058FA047936}" xr6:coauthVersionLast="36" xr6:coauthVersionMax="36" xr10:uidLastSave="{00000000-0000-0000-0000-000000000000}"/>
  <bookViews>
    <workbookView xWindow="0" yWindow="0" windowWidth="23040" windowHeight="8940" xr2:uid="{B49BAC40-7C51-427E-BBD9-8BE99C39C6CD}"/>
  </bookViews>
  <sheets>
    <sheet name="Sheet1" sheetId="1" r:id="rId1"/>
  </sheets>
  <calcPr calcId="191029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2" i="1" l="1"/>
  <c r="M302" i="1"/>
  <c r="N3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1" i="1"/>
  <c r="N30" i="1"/>
  <c r="N29" i="1"/>
  <c r="N28" i="1"/>
  <c r="N27" i="1"/>
  <c r="N26" i="1"/>
  <c r="N25" i="1"/>
  <c r="N24" i="1"/>
  <c r="N23" i="1"/>
  <c r="N22" i="1"/>
  <c r="N21" i="1"/>
  <c r="L21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<sst xmlns="http://schemas.openxmlformats.org/spreadsheetml/2006/main" count="1176" uniqueCount="323">
  <si>
    <t>Grade / Class</t>
  </si>
  <si>
    <t>PLAY-GROUP</t>
  </si>
  <si>
    <t>NURSERY</t>
  </si>
  <si>
    <t>PREP</t>
  </si>
  <si>
    <t>Grade ONE</t>
  </si>
  <si>
    <t>Grade TWO</t>
  </si>
  <si>
    <t>Grade THREE</t>
  </si>
  <si>
    <t>Grade FOUR</t>
  </si>
  <si>
    <t>Grade FIVE</t>
  </si>
  <si>
    <t>Grade SIX</t>
  </si>
  <si>
    <t>Grade SEVEN</t>
  </si>
  <si>
    <t>Grade EIGHT</t>
  </si>
  <si>
    <t>Grade NINE</t>
  </si>
  <si>
    <t>Grade TEN</t>
  </si>
  <si>
    <t>A' LEVELS</t>
  </si>
  <si>
    <t>O' LEVELS</t>
  </si>
  <si>
    <t>TUTION FEES</t>
  </si>
  <si>
    <t>Admission Fee</t>
  </si>
  <si>
    <t>Annual Charges</t>
  </si>
  <si>
    <t>TRANSPORT FEES</t>
  </si>
  <si>
    <t>BOOKS</t>
  </si>
  <si>
    <t>UNIFORM</t>
  </si>
  <si>
    <t>TOTAL</t>
  </si>
  <si>
    <t>STUDENT'S DATA</t>
  </si>
  <si>
    <t>STUDENT'S NAME</t>
  </si>
  <si>
    <t>CLASS</t>
  </si>
  <si>
    <t>Fatima Tariq</t>
  </si>
  <si>
    <t>Ushna Zaka</t>
  </si>
  <si>
    <t>Noor Fatima</t>
  </si>
  <si>
    <t>Nadeen Asif</t>
  </si>
  <si>
    <t>Khola Noor</t>
  </si>
  <si>
    <t>Maryam Usman</t>
  </si>
  <si>
    <t>Imanish Arif</t>
  </si>
  <si>
    <t>Fatima Nadeem</t>
  </si>
  <si>
    <t xml:space="preserve">Hateem </t>
  </si>
  <si>
    <t>Harmain Malik</t>
  </si>
  <si>
    <t>Zunaira Jameel</t>
  </si>
  <si>
    <t>Zukhruf Sarfraz</t>
  </si>
  <si>
    <t>Areeba Habib</t>
  </si>
  <si>
    <t>Muntaha Rizwan</t>
  </si>
  <si>
    <t>Daniyal Majid</t>
  </si>
  <si>
    <t>Ali Ansari</t>
  </si>
  <si>
    <t>Feroz Khan</t>
  </si>
  <si>
    <t>Shaheera Eman</t>
  </si>
  <si>
    <t>Danish Taimoor</t>
  </si>
  <si>
    <t>Tahir</t>
  </si>
  <si>
    <t>Hamza Butt</t>
  </si>
  <si>
    <t>Omar</t>
  </si>
  <si>
    <t>Taha Ahmad</t>
  </si>
  <si>
    <t>Arsal Khan</t>
  </si>
  <si>
    <t>Faiz Ahmad</t>
  </si>
  <si>
    <t xml:space="preserve">Fozan </t>
  </si>
  <si>
    <t>Abbas Hussain</t>
  </si>
  <si>
    <t>Mirza Hassan</t>
  </si>
  <si>
    <t>Ayaan Mirza</t>
  </si>
  <si>
    <t>Farooq Afzal</t>
  </si>
  <si>
    <t xml:space="preserve">Muhammad Abraj </t>
  </si>
  <si>
    <t>Jannat</t>
  </si>
  <si>
    <t>Ayesha Hussain</t>
  </si>
  <si>
    <t>Hafsa Imran</t>
  </si>
  <si>
    <t>Momina Shahbaz</t>
  </si>
  <si>
    <t>Faluq Muaaz</t>
  </si>
  <si>
    <t>Basil Maaz</t>
  </si>
  <si>
    <t>Zahira Khanam</t>
  </si>
  <si>
    <t>Ubaidallah Tahir</t>
  </si>
  <si>
    <t>Saeed Ghani</t>
  </si>
  <si>
    <t>Fatima Faisal</t>
  </si>
  <si>
    <t>Hira Faisal</t>
  </si>
  <si>
    <t>Saad Maqsood</t>
  </si>
  <si>
    <t>Bilal Khokhar</t>
  </si>
  <si>
    <t>Kashaf Shoaib</t>
  </si>
  <si>
    <t>Sania Hassan</t>
  </si>
  <si>
    <t>Bushra</t>
  </si>
  <si>
    <t xml:space="preserve">Madiha </t>
  </si>
  <si>
    <t>Nadia</t>
  </si>
  <si>
    <t>Muhammad Afzal</t>
  </si>
  <si>
    <t>STUDENT'S ID</t>
  </si>
  <si>
    <t>Saba</t>
  </si>
  <si>
    <t>Sara</t>
  </si>
  <si>
    <t>Hamna</t>
  </si>
  <si>
    <t>Huma</t>
  </si>
  <si>
    <t>Ahmad</t>
  </si>
  <si>
    <t>Moosa</t>
  </si>
  <si>
    <t xml:space="preserve">Faizan </t>
  </si>
  <si>
    <t>Usman Ansari</t>
  </si>
  <si>
    <t>Shabana</t>
  </si>
  <si>
    <t>Sabeen Farooq</t>
  </si>
  <si>
    <t>Ayesha Abass</t>
  </si>
  <si>
    <t>Raheela Fatima</t>
  </si>
  <si>
    <t>Areeba Tariq</t>
  </si>
  <si>
    <t>Tayyaba Abdullah</t>
  </si>
  <si>
    <t xml:space="preserve">Amir </t>
  </si>
  <si>
    <t xml:space="preserve">Alishba </t>
  </si>
  <si>
    <t>Faiza</t>
  </si>
  <si>
    <t>Yashfa</t>
  </si>
  <si>
    <t>Zeeshan</t>
  </si>
  <si>
    <t>Faisal</t>
  </si>
  <si>
    <t>Azra</t>
  </si>
  <si>
    <t>Iqra</t>
  </si>
  <si>
    <t>Aroob</t>
  </si>
  <si>
    <t>Sara Khan</t>
  </si>
  <si>
    <t>Ayeza Khan</t>
  </si>
  <si>
    <t xml:space="preserve">Shgufta </t>
  </si>
  <si>
    <t>Awais</t>
  </si>
  <si>
    <t>Fatima Noor</t>
  </si>
  <si>
    <t>Ahmed Raza</t>
  </si>
  <si>
    <t>Ayesha Khan</t>
  </si>
  <si>
    <t>Hamza Ali</t>
  </si>
  <si>
    <t>Maryam Iqbal</t>
  </si>
  <si>
    <t>Usman Tariq</t>
  </si>
  <si>
    <t>Hira Shah</t>
  </si>
  <si>
    <t>Bilal Hussain</t>
  </si>
  <si>
    <t>Zainab Akram</t>
  </si>
  <si>
    <t>Hassan Rauf</t>
  </si>
  <si>
    <t>Sara Malik</t>
  </si>
  <si>
    <t>Daniyal Khan</t>
  </si>
  <si>
    <t>Iqra Ahmed</t>
  </si>
  <si>
    <t>Saad Butt</t>
  </si>
  <si>
    <t>Abdullah Sheikh</t>
  </si>
  <si>
    <t>Anum Javed</t>
  </si>
  <si>
    <t>Farhan Ali</t>
  </si>
  <si>
    <t>Laiba Ashraf</t>
  </si>
  <si>
    <t>Rizwan Haider</t>
  </si>
  <si>
    <t>Sana Riaz</t>
  </si>
  <si>
    <t>Adeel Khan</t>
  </si>
  <si>
    <t>Madiha Noor</t>
  </si>
  <si>
    <t>Shahzaib Ahmed</t>
  </si>
  <si>
    <t>Kinza Tariq</t>
  </si>
  <si>
    <t>Salman Akhtar</t>
  </si>
  <si>
    <t>Bushra Iqbal</t>
  </si>
  <si>
    <t>Imran Siddique</t>
  </si>
  <si>
    <t>Mahnoor Ali</t>
  </si>
  <si>
    <t>Waqas Ahmad</t>
  </si>
  <si>
    <t>Eman Fatima</t>
  </si>
  <si>
    <t>Noman Raza</t>
  </si>
  <si>
    <t>Saba Aslam</t>
  </si>
  <si>
    <t>Junaid Khan</t>
  </si>
  <si>
    <t>Hafsa Malik</t>
  </si>
  <si>
    <t>Talha Mehmood</t>
  </si>
  <si>
    <t>Rimsha Noor</t>
  </si>
  <si>
    <t>Arslan Butt</t>
  </si>
  <si>
    <t>Areeba Khan</t>
  </si>
  <si>
    <t>Noor Fatima Ahmad</t>
  </si>
  <si>
    <t>Adam Khan</t>
  </si>
  <si>
    <t>Sarah Ahmed</t>
  </si>
  <si>
    <t>Daniel Raza</t>
  </si>
  <si>
    <t>Amina Noor</t>
  </si>
  <si>
    <t>Michael Ali</t>
  </si>
  <si>
    <t>Hoorain Fatima</t>
  </si>
  <si>
    <t>Ryan Sheikh</t>
  </si>
  <si>
    <t>Anaya Malik</t>
  </si>
  <si>
    <t>Kevin Hussain</t>
  </si>
  <si>
    <t>Alina Shah</t>
  </si>
  <si>
    <t>Hassan Bloom</t>
  </si>
  <si>
    <t>Emma Rauf</t>
  </si>
  <si>
    <t>Hamdan Qureshi</t>
  </si>
  <si>
    <t>Sophia Iqbal</t>
  </si>
  <si>
    <t>Zain Walker</t>
  </si>
  <si>
    <t>Maria Siddiqui</t>
  </si>
  <si>
    <t>Jason Akhtar</t>
  </si>
  <si>
    <t>Eliza Khan</t>
  </si>
  <si>
    <t>Ibrahim Stone</t>
  </si>
  <si>
    <t>Areej Fatima</t>
  </si>
  <si>
    <t>Noah Tariq</t>
  </si>
  <si>
    <t>Lily Ahmed</t>
  </si>
  <si>
    <t>Rayyan Brooks</t>
  </si>
  <si>
    <t>Maham Noor</t>
  </si>
  <si>
    <t>Alex Farooq</t>
  </si>
  <si>
    <t>Hana Ali</t>
  </si>
  <si>
    <t>Ethan Butt</t>
  </si>
  <si>
    <t>Zara Collins</t>
  </si>
  <si>
    <t>Saif Morgan</t>
  </si>
  <si>
    <t>Noor Ul Ain</t>
  </si>
  <si>
    <t>Owen Rashid</t>
  </si>
  <si>
    <t>Mehwish Khan</t>
  </si>
  <si>
    <t>Lucas Mehmood</t>
  </si>
  <si>
    <t>Aaliyah Shah</t>
  </si>
  <si>
    <t>Aaron Nawaz</t>
  </si>
  <si>
    <t>Hiba Raza</t>
  </si>
  <si>
    <t>David Ansari</t>
  </si>
  <si>
    <t>Inaya Noor</t>
  </si>
  <si>
    <t>Samuel Qazi</t>
  </si>
  <si>
    <t>Rida Malik</t>
  </si>
  <si>
    <t>Leo Hassan</t>
  </si>
  <si>
    <t>Fariha Noor</t>
  </si>
  <si>
    <t>Oliver Javed</t>
  </si>
  <si>
    <t>Ayesha Wood</t>
  </si>
  <si>
    <t>Mark Iqbal</t>
  </si>
  <si>
    <t>Talia Ahmed</t>
  </si>
  <si>
    <t>Yusuf Grant</t>
  </si>
  <si>
    <t>Saniya Khan</t>
  </si>
  <si>
    <t>Ben Haider</t>
  </si>
  <si>
    <t>Iman Fatima</t>
  </si>
  <si>
    <t>Jacob Riaz</t>
  </si>
  <si>
    <t>Amara Sheikh</t>
  </si>
  <si>
    <t>Tony Aslam</t>
  </si>
  <si>
    <t>Khadija Noor</t>
  </si>
  <si>
    <t>Scott Ali</t>
  </si>
  <si>
    <t>Mahnoor Khan</t>
  </si>
  <si>
    <t>Calvin Tariq</t>
  </si>
  <si>
    <t>Sana Rose</t>
  </si>
  <si>
    <t>Daniel Butt</t>
  </si>
  <si>
    <t>Iqra James</t>
  </si>
  <si>
    <t>Ryan Mehmood</t>
  </si>
  <si>
    <t>Zoya White</t>
  </si>
  <si>
    <t>Nathan Rauf</t>
  </si>
  <si>
    <t>Bushra Lane</t>
  </si>
  <si>
    <t>Amir Watson</t>
  </si>
  <si>
    <t>Eshal Noor</t>
  </si>
  <si>
    <t>Chris Qureshi</t>
  </si>
  <si>
    <t>Laiba Adams</t>
  </si>
  <si>
    <t>Ayan Scott</t>
  </si>
  <si>
    <t>Miriam Khan</t>
  </si>
  <si>
    <t>Peter Akram</t>
  </si>
  <si>
    <t>Anum Grey</t>
  </si>
  <si>
    <t>Shawn Ali</t>
  </si>
  <si>
    <t>Noreen Malik</t>
  </si>
  <si>
    <t>Hamid Brooks</t>
  </si>
  <si>
    <t>Clara Hussain</t>
  </si>
  <si>
    <t>Justin Raza</t>
  </si>
  <si>
    <t>Farah Stone</t>
  </si>
  <si>
    <t>Sarmad</t>
  </si>
  <si>
    <t>Zaviyar</t>
  </si>
  <si>
    <t>Maheen</t>
  </si>
  <si>
    <t>Sabeera</t>
  </si>
  <si>
    <t>Nehan</t>
  </si>
  <si>
    <t>Nahyan</t>
  </si>
  <si>
    <t>Haroon</t>
  </si>
  <si>
    <t xml:space="preserve">Adam Ali </t>
  </si>
  <si>
    <t xml:space="preserve">Irfan </t>
  </si>
  <si>
    <t>Jahan Ara</t>
  </si>
  <si>
    <t>amna</t>
  </si>
  <si>
    <t>sara</t>
  </si>
  <si>
    <t>Farooq Ahmad</t>
  </si>
  <si>
    <t>Alex Brown</t>
  </si>
  <si>
    <t>Sarah Smith</t>
  </si>
  <si>
    <t>Daniel Khan</t>
  </si>
  <si>
    <t>Amina Ali</t>
  </si>
  <si>
    <t>Michael Ahmed</t>
  </si>
  <si>
    <t>Jason Raza</t>
  </si>
  <si>
    <t>Emma Noor</t>
  </si>
  <si>
    <t>Oliver Akhtar</t>
  </si>
  <si>
    <t>Ibrahim Tariq</t>
  </si>
  <si>
    <t>Noah Butt</t>
  </si>
  <si>
    <t>Rayyan Farooq</t>
  </si>
  <si>
    <t>Alex Hassan</t>
  </si>
  <si>
    <t>Ethan Mehmood</t>
  </si>
  <si>
    <t>Saif Ahmed</t>
  </si>
  <si>
    <t>Noor Javed</t>
  </si>
  <si>
    <t>ahamad</t>
  </si>
  <si>
    <t>Fatima Junaid</t>
  </si>
  <si>
    <t>Ruchika</t>
  </si>
  <si>
    <t>Shahruk Khan</t>
  </si>
  <si>
    <t>Sana</t>
  </si>
  <si>
    <t>Amna Shoaib</t>
  </si>
  <si>
    <t>Hina</t>
  </si>
  <si>
    <t>Aqsa</t>
  </si>
  <si>
    <t>Areeb</t>
  </si>
  <si>
    <t>Hammad</t>
  </si>
  <si>
    <t>Jannat Mirza</t>
  </si>
  <si>
    <t>Ayaz</t>
  </si>
  <si>
    <t xml:space="preserve">Mayeda </t>
  </si>
  <si>
    <t>Shiza</t>
  </si>
  <si>
    <t>Iffa</t>
  </si>
  <si>
    <t>Ghania</t>
  </si>
  <si>
    <t>Mehak</t>
  </si>
  <si>
    <t>Hanan</t>
  </si>
  <si>
    <t>Shaheen Afridi</t>
  </si>
  <si>
    <t>Babar Azam</t>
  </si>
  <si>
    <t>Shahid Afridi</t>
  </si>
  <si>
    <t>Haris Rauf</t>
  </si>
  <si>
    <t>Kamyar</t>
  </si>
  <si>
    <t>Ayra</t>
  </si>
  <si>
    <t>Furqn</t>
  </si>
  <si>
    <t>Farukh</t>
  </si>
  <si>
    <t>Hamza</t>
  </si>
  <si>
    <t>Haroon Rasheed</t>
  </si>
  <si>
    <t xml:space="preserve">Faiza Ahmad </t>
  </si>
  <si>
    <t xml:space="preserve">Sara Ali </t>
  </si>
  <si>
    <t xml:space="preserve">Maham </t>
  </si>
  <si>
    <t>Hadia</t>
  </si>
  <si>
    <t xml:space="preserve">Hiba </t>
  </si>
  <si>
    <t>Ramla</t>
  </si>
  <si>
    <t>Aneeqa</t>
  </si>
  <si>
    <t>Smith</t>
  </si>
  <si>
    <t>Ronaldo</t>
  </si>
  <si>
    <t>Messi</t>
  </si>
  <si>
    <t>Naseem</t>
  </si>
  <si>
    <t>Naseema</t>
  </si>
  <si>
    <t>Female</t>
  </si>
  <si>
    <t>Male</t>
  </si>
  <si>
    <t>No</t>
  </si>
  <si>
    <t>Yes</t>
  </si>
  <si>
    <t>TRANSPORT USE</t>
  </si>
  <si>
    <t>GENDER</t>
  </si>
  <si>
    <t xml:space="preserve">TRANSPORT FEES </t>
  </si>
  <si>
    <t xml:space="preserve">ADMISSION FEES </t>
  </si>
  <si>
    <t>Playgroup</t>
  </si>
  <si>
    <t>Nursery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</si>
  <si>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</si>
  <si>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</si>
  <si>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</si>
  <si>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</si>
  <si>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</si>
  <si>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</si>
  <si>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</si>
  <si>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</si>
  <si>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</si>
  <si>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</si>
  <si>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Prep</t>
  </si>
  <si>
    <t>ANNUAL CHARGES</t>
  </si>
  <si>
    <t>SECURITY</t>
  </si>
  <si>
    <t xml:space="preserve">SECURITY FEES </t>
  </si>
  <si>
    <t xml:space="preserve">TOTAL </t>
  </si>
  <si>
    <t>YEARLY FEE</t>
  </si>
  <si>
    <t>FEE PAID</t>
  </si>
  <si>
    <t>FEE REMAINING</t>
  </si>
  <si>
    <t>CHARTS</t>
  </si>
  <si>
    <t>Count of GENDER</t>
  </si>
  <si>
    <t>TRANSPORT USAGE</t>
  </si>
  <si>
    <t>Count of TRANSPORT USE</t>
  </si>
  <si>
    <t>O'Levels</t>
  </si>
  <si>
    <t>A'Levels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</si>
</sst>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 Black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/>
    <xf numFmtId="3" fontId="0" fillId="0" borderId="1" xfId="0" applyNumberFormat="1" applyBorder="1" applyAlignment="1">
      <alignment horizontal="right" vertical="center" wrapText="1"/>
    </xf>
    <xf numFmtId="0" fontId="6" fillId="0" borderId="0" xfId="0" applyFont="1"/>
    <xf numFmtId="0" fontId="0" fillId="0" borderId="0" xfId="0"/>
    <xf numFmtId="0" fontId="0" fillId="0" borderId="0" xfId="0"/>
    <xf numFmtId="0" fontId="0" fillId="0" borderId="0" xfId="0" pivotButton="1"/>
    <xf numFmtId="0" fontId="8" fillId="0" borderId="0" xfId="0" applyFont="1"/>
    <xf numFmtId="0" fontId="0" fillId="0" borderId="0" xfId="0" applyNumberFormat="1" applyFont="1" applyFill="1" applyBorder="1" applyAlignment="1" applyProtection="1"/>
    <xf numFmtId="0" fontId="11" fillId="0" borderId="0" xfId="0" pivotButton="1" applyFont="1" applyAlignment="1">
      <alignment vertical="center"/>
    </xf>
    <xf numFmtId="0" fontId="5" fillId="0" borderId="0" xfId="0" pivotButton="1" applyFont="1" applyAlignment="1">
      <alignment vertical="center"/>
    </xf>
    <xf numFmtId="0" fontId="8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9" fillId="0" borderId="2" xfId="0" applyFont="1" applyBorder="1" applyAlignment="1">
      <alignment vertical="center"/>
    </xf>
    <xf numFmtId="0" fontId="6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horizontal="right" vertical="center" wrapText="1"/>
    </xf>
    <xf numFmtId="0" fontId="10" fillId="0" borderId="2" xfId="0" applyFont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3" xfId="0" applyBorder="1"/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2" xfId="0" applyFont="1" applyFill="1" applyBorder="1"/>
    <xf numFmtId="0" fontId="0" fillId="0" borderId="2" xfId="0" applyBorder="1"/>
    <xf numFmtId="0" fontId="0" fillId="0" borderId="5" xfId="0" applyBorder="1"/>
  </cellXfs>
  <cellStyles count="1">
    <cellStyle name="Normal" xfId="0" builtinId="0"/>
  </cellStyles>
  <dxfs count="18">
    <dxf>
      <font>
        <sz val="14"/>
      </font>
    </dxf>
    <dxf>
      <font>
        <b/>
      </font>
    </dxf>
    <dxf>
      <font>
        <b/>
      </font>
    </dxf>
    <dxf>
      <font>
        <sz val="14"/>
      </font>
    </dxf>
    <dxf>
      <alignment vertical="center"/>
    </dxf>
    <dxf>
      <alignment vertical="center"/>
    </dxf>
    <dxf>
      <font>
        <sz val="9"/>
      </font>
    </dxf>
    <dxf>
      <font>
        <b val="0"/>
      </font>
    </dxf>
    <dxf>
      <font>
        <sz val="12"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4"/>
      </font>
    </dxf>
    <dxf>
      <font>
        <sz val="14"/>
      </font>
    </dxf>
    <dxf>
      <font>
        <b/>
      </font>
    </dxf>
    <dxf>
      <font>
        <sz val="14"/>
      </font>
    </dxf>
    <dxf>
      <font>
        <b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 of TRANSPORT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8.3333333333333332E-3"/>
              <c:y val="4.1666666666666664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dLbl>
          <c:idx val="0"/>
          <c:layout>
            <c:manualLayout>
              <c:x val="8.3333333333333332E-3"/>
              <c:y val="4.1666666666666664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</c:pivotFmt>
      <c:pivotFmt>
        <c:idx val="7"/>
        <c:dLbl>
          <c:idx val="0"/>
          <c:layout>
            <c:manualLayout>
              <c:x val="8.3333333333333332E-3"/>
              <c:y val="4.166666666666666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1C-463E-ABF6-3D3C164CF5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1C-463E-ABF6-3D3C164CF5DD}"/>
              </c:ext>
            </c:extLst>
          </c:dPt>
          <c:dLbls>
            <c:dLbl>
              <c:idx val="1"/>
              <c:layout>
                <c:manualLayout>
                  <c:x val="8.3333333333333332E-3"/>
                  <c:y val="4.1666666666666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1C-463E-ABF6-3D3C164CF5D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152</c:v>
              </c:pt>
              <c:pt idx="1">
                <c:v>129</c:v>
              </c:pt>
            </c:numLit>
          </c:val>
          <c:extLst>
            <c:ext xmlns:c16="http://schemas.microsoft.com/office/drawing/2014/chart" uri="{C3380CC4-5D6E-409C-BE32-E72D297353CC}">
              <c16:uniqueId val="{00000004-BF1C-463E-ABF6-3D3C164CF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577030812324929"/>
          <c:y val="0.1374307378244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E8-450C-B5F1-76310474FA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E8-450C-B5F1-76310474F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158</c:v>
              </c:pt>
              <c:pt idx="1">
                <c:v>123</c:v>
              </c:pt>
            </c:numLit>
          </c:val>
          <c:extLst>
            <c:ext xmlns:c16="http://schemas.microsoft.com/office/drawing/2014/chart" uri="{C3380CC4-5D6E-409C-BE32-E72D297353CC}">
              <c16:uniqueId val="{00000004-78E8-450C-B5F1-76310474FA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TUTION FEES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33-4415-B6BD-1F5A721BCD6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33-4415-B6BD-1F5A721BCD6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33-4415-B6BD-1F5A721BCD6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33-4415-B6BD-1F5A721BCD6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33-4415-B6BD-1F5A721BCD6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A33-4415-B6BD-1F5A721BCD6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A33-4415-B6BD-1F5A721BCD6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A33-4415-B6BD-1F5A721BCD6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A33-4415-B6BD-1F5A721BCD6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A33-4415-B6BD-1F5A721BCD6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A33-4415-B6BD-1F5A721BCD6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A33-4415-B6BD-1F5A721BCD6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A33-4415-B6BD-1F5A721BCD6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A33-4415-B6BD-1F5A721BCD6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A33-4415-B6BD-1F5A721BC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Sheet1!$A$2:$A$16</c:f>
              <c:strCache>
                <c:ptCount val="15"/>
                <c:pt idx="0">
                  <c:v>PLAY-GROUP</c:v>
                </c:pt>
                <c:pt idx="1">
                  <c:v>NURSERY</c:v>
                </c:pt>
                <c:pt idx="2">
                  <c:v>PREP</c:v>
                </c:pt>
                <c:pt idx="3">
                  <c:v>Grade ONE</c:v>
                </c:pt>
                <c:pt idx="4">
                  <c:v>Grade TWO</c:v>
                </c:pt>
                <c:pt idx="5">
                  <c:v>Grade THREE</c:v>
                </c:pt>
                <c:pt idx="6">
                  <c:v>Grade FOUR</c:v>
                </c:pt>
                <c:pt idx="7">
                  <c:v>Grade FIVE</c:v>
                </c:pt>
                <c:pt idx="8">
                  <c:v>Grade SIX</c:v>
                </c:pt>
                <c:pt idx="9">
                  <c:v>Grade SEVEN</c:v>
                </c:pt>
                <c:pt idx="10">
                  <c:v>Grade EIGHT</c:v>
                </c:pt>
                <c:pt idx="11">
                  <c:v>Grade NINE</c:v>
                </c:pt>
                <c:pt idx="12">
                  <c:v>Grade TEN</c:v>
                </c:pt>
                <c:pt idx="13">
                  <c:v>A' LEVELS</c:v>
                </c:pt>
                <c:pt idx="14">
                  <c:v>O' LEVELS</c:v>
                </c:pt>
              </c:strCache>
            </c:strRef>
          </c:cat>
          <c:val>
            <c:numRef>
              <c:f>Sheet1!$B$2:$B$16</c:f>
              <c:numCache>
                <c:formatCode>#,##0</c:formatCode>
                <c:ptCount val="15"/>
                <c:pt idx="0">
                  <c:v>30000</c:v>
                </c:pt>
                <c:pt idx="1">
                  <c:v>35000</c:v>
                </c:pt>
                <c:pt idx="2">
                  <c:v>40000</c:v>
                </c:pt>
                <c:pt idx="3">
                  <c:v>45000</c:v>
                </c:pt>
                <c:pt idx="4">
                  <c:v>50000</c:v>
                </c:pt>
                <c:pt idx="5">
                  <c:v>55000</c:v>
                </c:pt>
                <c:pt idx="6">
                  <c:v>60000</c:v>
                </c:pt>
                <c:pt idx="7">
                  <c:v>65000</c:v>
                </c:pt>
                <c:pt idx="8">
                  <c:v>70000</c:v>
                </c:pt>
                <c:pt idx="9">
                  <c:v>75000</c:v>
                </c:pt>
                <c:pt idx="10">
                  <c:v>80000</c:v>
                </c:pt>
                <c:pt idx="11">
                  <c:v>85000</c:v>
                </c:pt>
                <c:pt idx="12">
                  <c:v>90000</c:v>
                </c:pt>
                <c:pt idx="13">
                  <c:v>120000</c:v>
                </c:pt>
                <c:pt idx="1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A-48AC-ACA8-BA5DFE26E7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 of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8B2-4B8E-BC6E-98E52C4C6E0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8B2-4B8E-BC6E-98E52C4C6E0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8B2-4B8E-BC6E-98E52C4C6E0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B8B2-4B8E-BC6E-98E52C4C6E0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8B2-4B8E-BC6E-98E52C4C6E0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B8B2-4B8E-BC6E-98E52C4C6E0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B8B2-4B8E-BC6E-98E52C4C6E0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B8B2-4B8E-BC6E-98E52C4C6E0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B8B2-4B8E-BC6E-98E52C4C6E0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B8B2-4B8E-BC6E-98E52C4C6E0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B8B2-4B8E-BC6E-98E52C4C6E06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B8B2-4B8E-BC6E-98E52C4C6E06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B8B2-4B8E-BC6E-98E52C4C6E06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B8B2-4B8E-BC6E-98E52C4C6E06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B8B2-4B8E-BC6E-98E52C4C6E06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B8B2-4B8E-BC6E-98E52C4C6E06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B8B2-4B8E-BC6E-98E52C4C6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0"/>
              <c:pt idx="0">
                <c:v>Grade 1 Female</c:v>
              </c:pt>
              <c:pt idx="1">
                <c:v>Grade 1 Male</c:v>
              </c:pt>
              <c:pt idx="2">
                <c:v>Grade 10 Female</c:v>
              </c:pt>
              <c:pt idx="3">
                <c:v>Grade 10 Male</c:v>
              </c:pt>
              <c:pt idx="4">
                <c:v>Grade 2 Female</c:v>
              </c:pt>
              <c:pt idx="5">
                <c:v>Grade 2 Male</c:v>
              </c:pt>
              <c:pt idx="6">
                <c:v>Grade 3 Female</c:v>
              </c:pt>
              <c:pt idx="7">
                <c:v>Grade 3 Male</c:v>
              </c:pt>
              <c:pt idx="8">
                <c:v>Grade 4 Female</c:v>
              </c:pt>
              <c:pt idx="9">
                <c:v>Grade 4 Male</c:v>
              </c:pt>
              <c:pt idx="10">
                <c:v>Grade 5 Female</c:v>
              </c:pt>
              <c:pt idx="11">
                <c:v>Grade 5 Male</c:v>
              </c:pt>
              <c:pt idx="12">
                <c:v>Grade 6 Female</c:v>
              </c:pt>
              <c:pt idx="13">
                <c:v>Grade 6 Male</c:v>
              </c:pt>
              <c:pt idx="14">
                <c:v>Grade 7 Female</c:v>
              </c:pt>
              <c:pt idx="15">
                <c:v>Grade 7 Male</c:v>
              </c:pt>
              <c:pt idx="16">
                <c:v>Grade 8 Female</c:v>
              </c:pt>
              <c:pt idx="17">
                <c:v>Grade 8 Male</c:v>
              </c:pt>
              <c:pt idx="18">
                <c:v>Grade 9 Female</c:v>
              </c:pt>
              <c:pt idx="19">
                <c:v>Grade 9 Male</c:v>
              </c:pt>
              <c:pt idx="20">
                <c:v>Nursery Female</c:v>
              </c:pt>
              <c:pt idx="21">
                <c:v>Nursery Male</c:v>
              </c:pt>
              <c:pt idx="22">
                <c:v>Playgroup Female</c:v>
              </c:pt>
              <c:pt idx="23">
                <c:v>Playgroup Male</c:v>
              </c:pt>
              <c:pt idx="24">
                <c:v>Prep Female</c:v>
              </c:pt>
              <c:pt idx="25">
                <c:v>Prep Male</c:v>
              </c:pt>
              <c:pt idx="26">
                <c:v>O'Levels Female</c:v>
              </c:pt>
              <c:pt idx="27">
                <c:v>O'Levels Male</c:v>
              </c:pt>
              <c:pt idx="28">
                <c:v>A'Levels Female</c:v>
              </c:pt>
              <c:pt idx="29">
                <c:v>A'Levels Male</c:v>
              </c:pt>
            </c:strLit>
          </c:cat>
          <c:val>
            <c:numLit>
              <c:formatCode>General</c:formatCode>
              <c:ptCount val="30"/>
              <c:pt idx="0">
                <c:v>10</c:v>
              </c:pt>
              <c:pt idx="1">
                <c:v>9</c:v>
              </c:pt>
              <c:pt idx="2">
                <c:v>9</c:v>
              </c:pt>
              <c:pt idx="3">
                <c:v>10</c:v>
              </c:pt>
              <c:pt idx="4">
                <c:v>8</c:v>
              </c:pt>
              <c:pt idx="5">
                <c:v>11</c:v>
              </c:pt>
              <c:pt idx="6">
                <c:v>10</c:v>
              </c:pt>
              <c:pt idx="7">
                <c:v>8</c:v>
              </c:pt>
              <c:pt idx="8">
                <c:v>11</c:v>
              </c:pt>
              <c:pt idx="9">
                <c:v>8</c:v>
              </c:pt>
              <c:pt idx="10">
                <c:v>12</c:v>
              </c:pt>
              <c:pt idx="11">
                <c:v>7</c:v>
              </c:pt>
              <c:pt idx="12">
                <c:v>10</c:v>
              </c:pt>
              <c:pt idx="13">
                <c:v>9</c:v>
              </c:pt>
              <c:pt idx="14">
                <c:v>8</c:v>
              </c:pt>
              <c:pt idx="15">
                <c:v>10</c:v>
              </c:pt>
              <c:pt idx="16">
                <c:v>12</c:v>
              </c:pt>
              <c:pt idx="17">
                <c:v>7</c:v>
              </c:pt>
              <c:pt idx="18">
                <c:v>12</c:v>
              </c:pt>
              <c:pt idx="19">
                <c:v>7</c:v>
              </c:pt>
              <c:pt idx="20">
                <c:v>11</c:v>
              </c:pt>
              <c:pt idx="21">
                <c:v>7</c:v>
              </c:pt>
              <c:pt idx="22">
                <c:v>14</c:v>
              </c:pt>
              <c:pt idx="23">
                <c:v>5</c:v>
              </c:pt>
              <c:pt idx="24">
                <c:v>12</c:v>
              </c:pt>
              <c:pt idx="25">
                <c:v>6</c:v>
              </c:pt>
              <c:pt idx="26">
                <c:v>15</c:v>
              </c:pt>
              <c:pt idx="27">
                <c:v>4</c:v>
              </c:pt>
              <c:pt idx="28">
                <c:v>4</c:v>
              </c:pt>
              <c:pt idx="29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22-B8B2-4B8E-BC6E-98E52C4C6E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54503887"/>
        <c:axId val="1755113439"/>
      </c:barChart>
      <c:valAx>
        <c:axId val="175511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03887"/>
        <c:crossBetween val="between"/>
      </c:valAx>
      <c:catAx>
        <c:axId val="17545038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13439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12915</xdr:colOff>
      <xdr:row>323</xdr:row>
      <xdr:rowOff>313765</xdr:rowOff>
    </xdr:from>
    <xdr:to>
      <xdr:col>10</xdr:col>
      <xdr:colOff>149412</xdr:colOff>
      <xdr:row>337</xdr:row>
      <xdr:rowOff>164353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E9B74C-738C-440C-AF2A-2460EA389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1511084</xdr:colOff>
      <xdr:row>306</xdr:row>
      <xdr:rowOff>76200</xdr:rowOff>
    </xdr:from>
    <xdr:to>
      <xdr:col>10</xdr:col>
      <xdr:colOff>243840</xdr:colOff>
      <xdr:row>319</xdr:row>
      <xdr:rowOff>182879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34FCBF-8A31-4599-A16B-905E07ED3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990600</xdr:colOff>
      <xdr:row>348</xdr:row>
      <xdr:rowOff>91440</xdr:rowOff>
    </xdr:from>
    <xdr:to>
      <xdr:col>9</xdr:col>
      <xdr:colOff>381000</xdr:colOff>
      <xdr:row>381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014B5B-3758-40A5-AED8-18772CBD4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1027814</xdr:colOff>
      <xdr:row>389</xdr:row>
      <xdr:rowOff>17721</xdr:rowOff>
    </xdr:from>
    <xdr:to>
      <xdr:col>9</xdr:col>
      <xdr:colOff>230372</xdr:colOff>
      <xdr:row>421</xdr:row>
      <xdr:rowOff>124046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000D3D-0D5F-4A58-9786-9A797FF2D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4.779795138886" createdVersion="6" refreshedVersion="6" minRefreshableVersion="3" recordCount="281" xr:uid="{C042E58F-D851-4A77-BE99-5905C4BDAFAC}">
  <cacheSource type="worksheet">
    <worksheetSource ref="A20:N301" sheet="Sheet1"/>
  </cacheSource>
  <cacheFields count="14">
    <cacheField name="STUDENT'S ID" numFmtId="0">
      <sharedItems containsSemiMixedTypes="0" containsString="0" containsNumber="1" containsInteger="1" minValue="1001" maxValue="1290"/>
    </cacheField>
    <cacheField name="STUDENT'S NAME" numFmtId="0">
      <sharedItems/>
    </cacheField>
    <cacheField name="GENDER" numFmtId="0">
      <sharedItems count="2">
        <s v="Female"/>
        <s v="Male"/>
      </sharedItems>
    </cacheField>
    <cacheField name="CLASS" numFmtId="0">
      <sharedItems/>
    </cacheField>
    <cacheField name="TRANSPORT USE" numFmtId="0">
      <sharedItems/>
    </cacheField>
    <cacheField name="TUTION FEES" numFmtId="0">
      <sharedItems containsSemiMixedTypes="0" containsString="0" containsNumber="1" containsInteger="1" minValue="30000" maxValue="150000"/>
    </cacheField>
    <cacheField name="TRANSPORT FEES " numFmtId="0">
      <sharedItems containsSemiMixedTypes="0" containsString="0" containsNumber="1" containsInteger="1" minValue="0" maxValue="10000"/>
    </cacheField>
    <cacheField name="ADMISSION FEES " numFmtId="0">
      <sharedItems containsSemiMixedTypes="0" containsString="0" containsNumber="1" containsInteger="1" minValue="15000" maxValue="25000"/>
    </cacheField>
    <cacheField name="SECURITY FEES " numFmtId="0">
      <sharedItems containsSemiMixedTypes="0" containsString="0" containsNumber="1" containsInteger="1" minValue="10000" maxValue="10000"/>
    </cacheField>
    <cacheField name="ANNUAL CHARGES" numFmtId="0">
      <sharedItems containsSemiMixedTypes="0" containsString="0" containsNumber="1" containsInteger="1" minValue="5000" maxValue="15000"/>
    </cacheField>
    <cacheField name="TOTAL " numFmtId="0">
      <sharedItems containsSemiMixedTypes="0" containsString="0" containsNumber="1" containsInteger="1" minValue="60000" maxValue="210000"/>
    </cacheField>
    <cacheField name="YEARLY FEE" numFmtId="0">
      <sharedItems containsSemiMixedTypes="0" containsString="0" containsNumber="1" containsInteger="1" minValue="720000" maxValue="2520000"/>
    </cacheField>
    <cacheField name="FEE PAID" numFmtId="0">
      <sharedItems containsSemiMixedTypes="0" containsString="0" containsNumber="1" containsInteger="1" minValue="8000" maxValue="2000000"/>
    </cacheField>
    <cacheField name="FEE REMAINING" numFmtId="0">
      <sharedItems containsSemiMixedTypes="0" containsString="0" containsNumber="1" containsInteger="1" minValue="0" maxValue="24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4.791914583337" createdVersion="6" refreshedVersion="6" minRefreshableVersion="3" recordCount="281" xr:uid="{D71AD327-306C-4397-88AC-81DFB2115ED2}">
  <cacheSource type="worksheet">
    <worksheetSource ref="A20:N301" sheet="Sheet1"/>
  </cacheSource>
  <cacheFields count="14">
    <cacheField name="STUDENT'S ID" numFmtId="0">
      <sharedItems containsSemiMixedTypes="0" containsString="0" containsNumber="1" containsInteger="1" minValue="1001" maxValue="1290"/>
    </cacheField>
    <cacheField name="STUDENT'S NAME" numFmtId="0">
      <sharedItems/>
    </cacheField>
    <cacheField name="GENDER" numFmtId="0">
      <sharedItems/>
    </cacheField>
    <cacheField name="CLASS" numFmtId="0">
      <sharedItems/>
    </cacheField>
    <cacheField name="TRANSPORT USE" numFmtId="0">
      <sharedItems count="2">
        <s v="No"/>
        <s v="Yes"/>
      </sharedItems>
    </cacheField>
    <cacheField name="TUTION FEES" numFmtId="0">
      <sharedItems containsSemiMixedTypes="0" containsString="0" containsNumber="1" containsInteger="1" minValue="30000" maxValue="150000"/>
    </cacheField>
    <cacheField name="TRANSPORT FEES " numFmtId="0">
      <sharedItems containsSemiMixedTypes="0" containsString="0" containsNumber="1" containsInteger="1" minValue="0" maxValue="10000"/>
    </cacheField>
    <cacheField name="ADMISSION FEES " numFmtId="0">
      <sharedItems containsSemiMixedTypes="0" containsString="0" containsNumber="1" containsInteger="1" minValue="15000" maxValue="25000"/>
    </cacheField>
    <cacheField name="SECURITY FEES " numFmtId="0">
      <sharedItems containsSemiMixedTypes="0" containsString="0" containsNumber="1" containsInteger="1" minValue="10000" maxValue="10000"/>
    </cacheField>
    <cacheField name="ANNUAL CHARGES" numFmtId="0">
      <sharedItems containsSemiMixedTypes="0" containsString="0" containsNumber="1" containsInteger="1" minValue="5000" maxValue="15000"/>
    </cacheField>
    <cacheField name="TOTAL " numFmtId="0">
      <sharedItems containsSemiMixedTypes="0" containsString="0" containsNumber="1" containsInteger="1" minValue="60000" maxValue="210000"/>
    </cacheField>
    <cacheField name="YEARLY FEE" numFmtId="0">
      <sharedItems containsSemiMixedTypes="0" containsString="0" containsNumber="1" containsInteger="1" minValue="720000" maxValue="2520000"/>
    </cacheField>
    <cacheField name="FEE PAID" numFmtId="0">
      <sharedItems containsSemiMixedTypes="0" containsString="0" containsNumber="1" containsInteger="1" minValue="8000" maxValue="2000000"/>
    </cacheField>
    <cacheField name="FEE REMAINING" numFmtId="0">
      <sharedItems containsSemiMixedTypes="0" containsString="0" containsNumber="1" containsInteger="1" minValue="0" maxValue="24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n v="1001"/>
    <s v="Fatima Tariq"/>
    <x v="0"/>
    <s v="O-Levels"/>
    <s v="No"/>
    <n v="150000"/>
    <n v="0"/>
    <n v="25000"/>
    <n v="10000"/>
    <n v="15000"/>
    <n v="200000"/>
    <n v="2400000"/>
    <n v="1000000"/>
    <n v="1400000"/>
  </r>
  <r>
    <n v="1002"/>
    <s v="Ushna Zaka"/>
    <x v="0"/>
    <s v="O-Levels"/>
    <s v="Yes"/>
    <n v="150000"/>
    <n v="10000"/>
    <n v="25000"/>
    <n v="10000"/>
    <n v="15000"/>
    <n v="210000"/>
    <n v="2520000"/>
    <n v="2000000"/>
    <n v="520000"/>
  </r>
  <r>
    <n v="1003"/>
    <s v="Noor Fatima"/>
    <x v="0"/>
    <s v="O-Levels"/>
    <s v="No"/>
    <n v="150000"/>
    <n v="0"/>
    <n v="25000"/>
    <n v="10000"/>
    <n v="15000"/>
    <n v="200000"/>
    <n v="2400000"/>
    <n v="1500000"/>
    <n v="900000"/>
  </r>
  <r>
    <n v="1004"/>
    <s v="Nadeen Asif"/>
    <x v="0"/>
    <s v="O-Levels"/>
    <s v="Yes"/>
    <n v="150000"/>
    <n v="10000"/>
    <n v="25000"/>
    <n v="10000"/>
    <n v="15000"/>
    <n v="210000"/>
    <n v="2520000"/>
    <n v="500000"/>
    <n v="2020000"/>
  </r>
  <r>
    <n v="1005"/>
    <s v="Khola Noor"/>
    <x v="0"/>
    <s v="O-Levels"/>
    <s v="Yes"/>
    <n v="150000"/>
    <n v="10000"/>
    <n v="25000"/>
    <n v="10000"/>
    <n v="15000"/>
    <n v="210000"/>
    <n v="2520000"/>
    <n v="100000"/>
    <n v="2420000"/>
  </r>
  <r>
    <n v="1006"/>
    <s v="Maryam Usman"/>
    <x v="0"/>
    <s v="O-Levels"/>
    <s v="No"/>
    <n v="150000"/>
    <n v="0"/>
    <n v="25000"/>
    <n v="10000"/>
    <n v="15000"/>
    <n v="200000"/>
    <n v="2400000"/>
    <n v="1950000"/>
    <n v="450000"/>
  </r>
  <r>
    <n v="1007"/>
    <s v="Imanish Arif"/>
    <x v="0"/>
    <s v="O-Levels"/>
    <s v="No"/>
    <n v="150000"/>
    <n v="0"/>
    <n v="25000"/>
    <n v="10000"/>
    <n v="15000"/>
    <n v="200000"/>
    <n v="2400000"/>
    <n v="600000"/>
    <n v="1800000"/>
  </r>
  <r>
    <n v="1008"/>
    <s v="Fatima Nadeem"/>
    <x v="0"/>
    <s v="O-Levels"/>
    <s v="Yes"/>
    <n v="150000"/>
    <n v="10000"/>
    <n v="25000"/>
    <n v="10000"/>
    <n v="15000"/>
    <n v="210000"/>
    <n v="2520000"/>
    <n v="2000000"/>
    <n v="520000"/>
  </r>
  <r>
    <n v="1009"/>
    <s v="Hateem "/>
    <x v="0"/>
    <s v="O-Levels"/>
    <s v="No"/>
    <n v="150000"/>
    <n v="0"/>
    <n v="25000"/>
    <n v="10000"/>
    <n v="15000"/>
    <n v="200000"/>
    <n v="2400000"/>
    <n v="150000"/>
    <n v="2250000"/>
  </r>
  <r>
    <n v="1010"/>
    <s v="Harmain Malik"/>
    <x v="0"/>
    <s v="O-Levels"/>
    <s v="Yes"/>
    <n v="150000"/>
    <n v="10000"/>
    <n v="25000"/>
    <n v="10000"/>
    <n v="15000"/>
    <n v="210000"/>
    <n v="2520000"/>
    <n v="1300000"/>
    <n v="1220000"/>
  </r>
  <r>
    <n v="1011"/>
    <s v="Zunaira Jameel"/>
    <x v="0"/>
    <s v="O-Levels"/>
    <s v="No"/>
    <n v="150000"/>
    <n v="0"/>
    <n v="25000"/>
    <n v="10000"/>
    <n v="15000"/>
    <n v="200000"/>
    <n v="2400000"/>
    <n v="200000"/>
    <n v="2200000"/>
  </r>
  <r>
    <n v="1012"/>
    <s v="Zukhruf Sarfraz"/>
    <x v="0"/>
    <s v="O-Levels"/>
    <s v="No"/>
    <n v="150000"/>
    <n v="0"/>
    <n v="25000"/>
    <n v="10000"/>
    <n v="15000"/>
    <n v="200000"/>
    <n v="2400000"/>
    <n v="1500000"/>
    <n v="900000"/>
  </r>
  <r>
    <n v="1013"/>
    <s v="Areeba Habib"/>
    <x v="0"/>
    <s v="O-Levels"/>
    <s v="No"/>
    <n v="150000"/>
    <n v="0"/>
    <n v="25000"/>
    <n v="10000"/>
    <n v="15000"/>
    <n v="200000"/>
    <n v="2400000"/>
    <n v="1134928"/>
    <n v="1265072"/>
  </r>
  <r>
    <n v="1014"/>
    <s v="Muntaha Rizwan"/>
    <x v="0"/>
    <s v="O-Levels"/>
    <s v="Yes"/>
    <n v="150000"/>
    <n v="10000"/>
    <n v="25000"/>
    <n v="10000"/>
    <n v="15000"/>
    <n v="210000"/>
    <n v="2520000"/>
    <n v="288349"/>
    <n v="2231651"/>
  </r>
  <r>
    <n v="1015"/>
    <s v="Daniyal Majid"/>
    <x v="1"/>
    <s v="O-Levels"/>
    <s v="Yes"/>
    <n v="150000"/>
    <n v="10000"/>
    <n v="25000"/>
    <n v="10000"/>
    <n v="15000"/>
    <n v="210000"/>
    <n v="2520000"/>
    <n v="1285867"/>
    <n v="1234133"/>
  </r>
  <r>
    <n v="1016"/>
    <s v="Ali Ansari"/>
    <x v="1"/>
    <s v="O-Levels"/>
    <s v="Yes"/>
    <n v="150000"/>
    <n v="10000"/>
    <n v="25000"/>
    <n v="10000"/>
    <n v="15000"/>
    <n v="210000"/>
    <n v="2520000"/>
    <n v="1147894"/>
    <n v="1372106"/>
  </r>
  <r>
    <n v="1017"/>
    <s v="Feroz Khan"/>
    <x v="1"/>
    <s v="O-Levels"/>
    <s v="Yes"/>
    <n v="150000"/>
    <n v="10000"/>
    <n v="25000"/>
    <n v="10000"/>
    <n v="15000"/>
    <n v="210000"/>
    <n v="2520000"/>
    <n v="531111"/>
    <n v="1988889"/>
  </r>
  <r>
    <n v="1018"/>
    <s v="Shaheera Eman"/>
    <x v="0"/>
    <s v="O-Levels"/>
    <s v="No"/>
    <n v="150000"/>
    <n v="0"/>
    <n v="25000"/>
    <n v="10000"/>
    <n v="15000"/>
    <n v="200000"/>
    <n v="2400000"/>
    <n v="245074"/>
    <n v="2154926"/>
  </r>
  <r>
    <n v="1019"/>
    <s v="Danish Taimoor"/>
    <x v="1"/>
    <s v="A-Levels"/>
    <s v="No"/>
    <n v="120000"/>
    <n v="0"/>
    <n v="20000"/>
    <n v="10000"/>
    <n v="10000"/>
    <n v="160000"/>
    <n v="1920000"/>
    <n v="293940"/>
    <n v="1626060"/>
  </r>
  <r>
    <n v="1020"/>
    <s v="Tahir"/>
    <x v="1"/>
    <s v="A-Levels"/>
    <s v="No"/>
    <n v="120000"/>
    <n v="0"/>
    <n v="20000"/>
    <n v="10000"/>
    <n v="10000"/>
    <n v="160000"/>
    <n v="1920000"/>
    <n v="1860216"/>
    <n v="59784"/>
  </r>
  <r>
    <n v="1021"/>
    <s v="Hamza Butt"/>
    <x v="1"/>
    <s v="A-Levels"/>
    <s v="Yes"/>
    <n v="120000"/>
    <n v="10000"/>
    <n v="20000"/>
    <n v="10000"/>
    <n v="10000"/>
    <n v="170000"/>
    <n v="2040000"/>
    <n v="1707018"/>
    <n v="332982"/>
  </r>
  <r>
    <n v="1022"/>
    <s v="Omar"/>
    <x v="1"/>
    <s v="A-Levels"/>
    <s v="Yes"/>
    <n v="120000"/>
    <n v="10000"/>
    <n v="20000"/>
    <n v="10000"/>
    <n v="10000"/>
    <n v="170000"/>
    <n v="2040000"/>
    <n v="117289"/>
    <n v="1922711"/>
  </r>
  <r>
    <n v="1023"/>
    <s v="Taha Ahmad"/>
    <x v="1"/>
    <s v="A-Levels"/>
    <s v="No"/>
    <n v="120000"/>
    <n v="0"/>
    <n v="20000"/>
    <n v="10000"/>
    <n v="10000"/>
    <n v="160000"/>
    <n v="1920000"/>
    <n v="490940"/>
    <n v="1429060"/>
  </r>
  <r>
    <n v="1024"/>
    <s v="Arsal Khan"/>
    <x v="1"/>
    <s v="A-Levels"/>
    <s v="No"/>
    <n v="120000"/>
    <n v="0"/>
    <n v="20000"/>
    <n v="10000"/>
    <n v="10000"/>
    <n v="160000"/>
    <n v="1920000"/>
    <n v="1289601"/>
    <n v="630399"/>
  </r>
  <r>
    <n v="1025"/>
    <s v="Faiz Ahmad"/>
    <x v="1"/>
    <s v="A-Levels"/>
    <s v="No"/>
    <n v="120000"/>
    <n v="0"/>
    <n v="20000"/>
    <n v="10000"/>
    <n v="10000"/>
    <n v="160000"/>
    <n v="1920000"/>
    <n v="193370"/>
    <n v="1726630"/>
  </r>
  <r>
    <n v="1026"/>
    <s v="Fozan "/>
    <x v="1"/>
    <s v="A-Levels"/>
    <s v="No"/>
    <n v="120000"/>
    <n v="0"/>
    <n v="20000"/>
    <n v="10000"/>
    <n v="10000"/>
    <n v="160000"/>
    <n v="1920000"/>
    <n v="1677880"/>
    <n v="242120"/>
  </r>
  <r>
    <n v="1027"/>
    <s v="Abbas Hussain"/>
    <x v="1"/>
    <s v="A-Levels"/>
    <s v="Yes"/>
    <n v="120000"/>
    <n v="10000"/>
    <n v="20000"/>
    <n v="10000"/>
    <n v="10000"/>
    <n v="170000"/>
    <n v="2040000"/>
    <n v="422410"/>
    <n v="1617590"/>
  </r>
  <r>
    <n v="1028"/>
    <s v="Mirza Hassan"/>
    <x v="1"/>
    <s v="A-Levels"/>
    <s v="No"/>
    <n v="120000"/>
    <n v="0"/>
    <n v="20000"/>
    <n v="10000"/>
    <n v="10000"/>
    <n v="160000"/>
    <n v="1920000"/>
    <n v="268404"/>
    <n v="1651596"/>
  </r>
  <r>
    <n v="1029"/>
    <s v="Ayaan Mirza"/>
    <x v="1"/>
    <s v="A-Levels"/>
    <s v="Yes"/>
    <n v="120000"/>
    <n v="10000"/>
    <n v="20000"/>
    <n v="10000"/>
    <n v="10000"/>
    <n v="170000"/>
    <n v="2040000"/>
    <n v="560558"/>
    <n v="1479442"/>
  </r>
  <r>
    <n v="1030"/>
    <s v="Farooq Afzal"/>
    <x v="1"/>
    <s v="A-Levels"/>
    <s v="Yes"/>
    <n v="120000"/>
    <n v="10000"/>
    <n v="20000"/>
    <n v="10000"/>
    <n v="10000"/>
    <n v="170000"/>
    <n v="2040000"/>
    <n v="323204"/>
    <n v="1716796"/>
  </r>
  <r>
    <n v="1031"/>
    <s v="Basil Maaz"/>
    <x v="1"/>
    <s v="A-Levels"/>
    <s v="No"/>
    <n v="120000"/>
    <n v="0"/>
    <n v="20000"/>
    <n v="10000"/>
    <n v="10000"/>
    <n v="160000"/>
    <n v="1920000"/>
    <n v="521474"/>
    <n v="1398526"/>
  </r>
  <r>
    <n v="1032"/>
    <s v="Muhammad Abraj "/>
    <x v="1"/>
    <s v="A-Levels"/>
    <s v="No"/>
    <n v="120000"/>
    <n v="0"/>
    <n v="20000"/>
    <n v="10000"/>
    <n v="10000"/>
    <n v="160000"/>
    <n v="1920000"/>
    <n v="167516"/>
    <n v="1752484"/>
  </r>
  <r>
    <n v="1033"/>
    <s v="Jannat"/>
    <x v="0"/>
    <s v="A-Levels"/>
    <s v="No"/>
    <n v="120000"/>
    <n v="0"/>
    <n v="20000"/>
    <n v="10000"/>
    <n v="10000"/>
    <n v="160000"/>
    <n v="1920000"/>
    <n v="1386806"/>
    <n v="533194"/>
  </r>
  <r>
    <n v="1034"/>
    <s v="Ayesha Hussain"/>
    <x v="0"/>
    <s v="A-Levels"/>
    <s v="No"/>
    <n v="120000"/>
    <n v="0"/>
    <n v="20000"/>
    <n v="10000"/>
    <n v="10000"/>
    <n v="160000"/>
    <n v="1920000"/>
    <n v="1148455"/>
    <n v="771545"/>
  </r>
  <r>
    <n v="1035"/>
    <s v="Hafsa Imran"/>
    <x v="0"/>
    <s v="A-Levels"/>
    <s v="No"/>
    <n v="120000"/>
    <n v="0"/>
    <n v="20000"/>
    <n v="10000"/>
    <n v="10000"/>
    <n v="160000"/>
    <n v="1920000"/>
    <n v="823068"/>
    <n v="1096932"/>
  </r>
  <r>
    <n v="1036"/>
    <s v="Momina Shahbaz"/>
    <x v="0"/>
    <s v="A-Levels"/>
    <s v="No"/>
    <n v="120000"/>
    <n v="0"/>
    <n v="20000"/>
    <n v="10000"/>
    <n v="10000"/>
    <n v="160000"/>
    <n v="1920000"/>
    <n v="440641"/>
    <n v="1479359"/>
  </r>
  <r>
    <n v="1037"/>
    <s v="Faluq Muaaz"/>
    <x v="0"/>
    <s v="Playgroup"/>
    <s v="No"/>
    <n v="30000"/>
    <n v="0"/>
    <n v="15000"/>
    <n v="10000"/>
    <n v="5000"/>
    <n v="60000"/>
    <n v="720000"/>
    <n v="720000"/>
    <n v="0"/>
  </r>
  <r>
    <n v="1038"/>
    <s v="Zahira Khanam"/>
    <x v="0"/>
    <s v="Playgroup"/>
    <s v="Yes"/>
    <n v="30000"/>
    <n v="10000"/>
    <n v="15000"/>
    <n v="10000"/>
    <n v="5000"/>
    <n v="70000"/>
    <n v="840000"/>
    <n v="330360"/>
    <n v="509640"/>
  </r>
  <r>
    <n v="1039"/>
    <s v="Ubaidallah Tahir"/>
    <x v="1"/>
    <s v="Playgroup"/>
    <s v="No"/>
    <n v="30000"/>
    <n v="0"/>
    <n v="15000"/>
    <n v="10000"/>
    <n v="5000"/>
    <n v="60000"/>
    <n v="720000"/>
    <n v="182503"/>
    <n v="537497"/>
  </r>
  <r>
    <n v="1040"/>
    <s v="Saeed Ghani"/>
    <x v="1"/>
    <s v="Playgroup"/>
    <s v="No"/>
    <n v="30000"/>
    <n v="0"/>
    <n v="15000"/>
    <n v="10000"/>
    <n v="5000"/>
    <n v="60000"/>
    <n v="720000"/>
    <n v="125664"/>
    <n v="594336"/>
  </r>
  <r>
    <n v="1041"/>
    <s v="Fatima Faisal"/>
    <x v="0"/>
    <s v="Playgroup"/>
    <s v="Yes"/>
    <n v="30000"/>
    <n v="10000"/>
    <n v="15000"/>
    <n v="10000"/>
    <n v="5000"/>
    <n v="70000"/>
    <n v="840000"/>
    <n v="178758"/>
    <n v="661242"/>
  </r>
  <r>
    <n v="1042"/>
    <s v="Hira Faisal"/>
    <x v="0"/>
    <s v="Playgroup"/>
    <s v="Yes"/>
    <n v="30000"/>
    <n v="10000"/>
    <n v="15000"/>
    <n v="10000"/>
    <n v="5000"/>
    <n v="70000"/>
    <n v="840000"/>
    <n v="156031"/>
    <n v="683969"/>
  </r>
  <r>
    <n v="1043"/>
    <s v="Saad Maqsood"/>
    <x v="1"/>
    <s v="Playgroup"/>
    <s v="Yes"/>
    <n v="30000"/>
    <n v="10000"/>
    <n v="15000"/>
    <n v="10000"/>
    <n v="5000"/>
    <n v="70000"/>
    <n v="840000"/>
    <n v="109354"/>
    <n v="730646"/>
  </r>
  <r>
    <n v="1044"/>
    <s v="Bilal Khokhar"/>
    <x v="1"/>
    <s v="Playgroup"/>
    <s v="No"/>
    <n v="30000"/>
    <n v="0"/>
    <n v="15000"/>
    <n v="10000"/>
    <n v="5000"/>
    <n v="60000"/>
    <n v="720000"/>
    <n v="145003"/>
    <n v="574997"/>
  </r>
  <r>
    <n v="1045"/>
    <s v="Kashaf Shoaib"/>
    <x v="0"/>
    <s v="Playgroup"/>
    <s v="No"/>
    <n v="30000"/>
    <n v="0"/>
    <n v="15000"/>
    <n v="10000"/>
    <n v="5000"/>
    <n v="60000"/>
    <n v="720000"/>
    <n v="111806"/>
    <n v="608194"/>
  </r>
  <r>
    <n v="1046"/>
    <s v="Sania Hassan"/>
    <x v="0"/>
    <s v="Playgroup"/>
    <s v="Yes"/>
    <n v="30000"/>
    <n v="10000"/>
    <n v="15000"/>
    <n v="10000"/>
    <n v="5000"/>
    <n v="70000"/>
    <n v="840000"/>
    <n v="623804"/>
    <n v="216196"/>
  </r>
  <r>
    <n v="1047"/>
    <s v="Bushra"/>
    <x v="0"/>
    <s v="Playgroup"/>
    <s v="Yes"/>
    <n v="30000"/>
    <n v="10000"/>
    <n v="15000"/>
    <n v="10000"/>
    <n v="5000"/>
    <n v="70000"/>
    <n v="840000"/>
    <n v="207068"/>
    <n v="632932"/>
  </r>
  <r>
    <n v="1048"/>
    <s v="Madiha "/>
    <x v="0"/>
    <s v="Playgroup"/>
    <s v="Yes"/>
    <n v="30000"/>
    <n v="10000"/>
    <n v="15000"/>
    <n v="10000"/>
    <n v="5000"/>
    <n v="70000"/>
    <n v="840000"/>
    <n v="8000"/>
    <n v="832000"/>
  </r>
  <r>
    <n v="1049"/>
    <s v="Nadia"/>
    <x v="0"/>
    <s v="Playgroup"/>
    <s v="Yes"/>
    <n v="30000"/>
    <n v="10000"/>
    <n v="15000"/>
    <n v="10000"/>
    <n v="5000"/>
    <n v="70000"/>
    <n v="840000"/>
    <n v="192358"/>
    <n v="647642"/>
  </r>
  <r>
    <n v="1050"/>
    <s v="Muhammad Afzal"/>
    <x v="1"/>
    <s v="Playgroup"/>
    <s v="No"/>
    <n v="30000"/>
    <n v="0"/>
    <n v="15000"/>
    <n v="10000"/>
    <n v="5000"/>
    <n v="60000"/>
    <n v="720000"/>
    <n v="115328"/>
    <n v="604672"/>
  </r>
  <r>
    <n v="1051"/>
    <s v="Saba"/>
    <x v="0"/>
    <s v="Playgroup"/>
    <s v="No"/>
    <n v="30000"/>
    <n v="0"/>
    <n v="15000"/>
    <n v="10000"/>
    <n v="5000"/>
    <n v="60000"/>
    <n v="720000"/>
    <n v="720000"/>
    <n v="0"/>
  </r>
  <r>
    <n v="1052"/>
    <s v="Sara"/>
    <x v="0"/>
    <s v="Playgroup"/>
    <s v="Yes"/>
    <n v="30000"/>
    <n v="10000"/>
    <n v="15000"/>
    <n v="10000"/>
    <n v="5000"/>
    <n v="70000"/>
    <n v="840000"/>
    <n v="84000"/>
    <n v="756000"/>
  </r>
  <r>
    <n v="1053"/>
    <s v="Hamna"/>
    <x v="0"/>
    <s v="Playgroup"/>
    <s v="No"/>
    <n v="30000"/>
    <n v="0"/>
    <n v="15000"/>
    <n v="10000"/>
    <n v="5000"/>
    <n v="60000"/>
    <n v="720000"/>
    <n v="180761"/>
    <n v="539239"/>
  </r>
  <r>
    <n v="1054"/>
    <s v="Huma"/>
    <x v="0"/>
    <s v="Playgroup"/>
    <s v="No"/>
    <n v="30000"/>
    <n v="0"/>
    <n v="15000"/>
    <n v="10000"/>
    <n v="5000"/>
    <n v="60000"/>
    <n v="720000"/>
    <n v="195559"/>
    <n v="524441"/>
  </r>
  <r>
    <n v="1055"/>
    <s v="Ahmad"/>
    <x v="1"/>
    <s v="Nursery"/>
    <s v="Yes"/>
    <n v="35000"/>
    <n v="10000"/>
    <n v="15000"/>
    <n v="10000"/>
    <n v="5000"/>
    <n v="75000"/>
    <n v="900000"/>
    <n v="800000"/>
    <n v="100000"/>
  </r>
  <r>
    <n v="1056"/>
    <s v="Moosa"/>
    <x v="1"/>
    <s v="Nursery"/>
    <s v="Yes"/>
    <n v="35000"/>
    <n v="10000"/>
    <n v="15000"/>
    <n v="10000"/>
    <n v="5000"/>
    <n v="75000"/>
    <n v="900000"/>
    <n v="751205"/>
    <n v="148795"/>
  </r>
  <r>
    <n v="1057"/>
    <s v="Faizan "/>
    <x v="1"/>
    <s v="Nursery"/>
    <s v="No"/>
    <n v="35000"/>
    <n v="0"/>
    <n v="15000"/>
    <n v="10000"/>
    <n v="5000"/>
    <n v="65000"/>
    <n v="780000"/>
    <n v="599894"/>
    <n v="180106"/>
  </r>
  <r>
    <n v="1058"/>
    <s v="Usman Ansari"/>
    <x v="1"/>
    <s v="Nursery"/>
    <s v="Yes"/>
    <n v="35000"/>
    <n v="10000"/>
    <n v="15000"/>
    <n v="10000"/>
    <n v="5000"/>
    <n v="75000"/>
    <n v="900000"/>
    <n v="900000"/>
    <n v="0"/>
  </r>
  <r>
    <n v="1059"/>
    <s v="Shabana"/>
    <x v="0"/>
    <s v="Nursery"/>
    <s v="No"/>
    <n v="35000"/>
    <n v="0"/>
    <n v="15000"/>
    <n v="10000"/>
    <n v="5000"/>
    <n v="65000"/>
    <n v="780000"/>
    <n v="211671"/>
    <n v="568329"/>
  </r>
  <r>
    <n v="1060"/>
    <s v="Sabeen Farooq"/>
    <x v="0"/>
    <s v="Nursery"/>
    <s v="Yes"/>
    <n v="35000"/>
    <n v="10000"/>
    <n v="15000"/>
    <n v="10000"/>
    <n v="5000"/>
    <n v="75000"/>
    <n v="900000"/>
    <n v="845231"/>
    <n v="54769"/>
  </r>
  <r>
    <n v="1061"/>
    <s v="Ayesha Abass"/>
    <x v="0"/>
    <s v="Nursery"/>
    <s v="Yes"/>
    <n v="35000"/>
    <n v="10000"/>
    <n v="15000"/>
    <n v="10000"/>
    <n v="5000"/>
    <n v="75000"/>
    <n v="900000"/>
    <n v="501177"/>
    <n v="398823"/>
  </r>
  <r>
    <n v="1062"/>
    <s v="Raheela Fatima"/>
    <x v="0"/>
    <s v="Nursery"/>
    <s v="Yes"/>
    <n v="35000"/>
    <n v="10000"/>
    <n v="15000"/>
    <n v="10000"/>
    <n v="5000"/>
    <n v="75000"/>
    <n v="900000"/>
    <n v="900000"/>
    <n v="0"/>
  </r>
  <r>
    <n v="1063"/>
    <s v="Areeba Tariq"/>
    <x v="0"/>
    <s v="Nursery"/>
    <s v="No"/>
    <n v="35000"/>
    <n v="0"/>
    <n v="15000"/>
    <n v="10000"/>
    <n v="5000"/>
    <n v="65000"/>
    <n v="780000"/>
    <n v="157716"/>
    <n v="622284"/>
  </r>
  <r>
    <n v="1064"/>
    <s v="Tayyaba Abdullah"/>
    <x v="0"/>
    <s v="Nursery"/>
    <s v="Yes"/>
    <n v="35000"/>
    <n v="10000"/>
    <n v="15000"/>
    <n v="10000"/>
    <n v="5000"/>
    <n v="75000"/>
    <n v="900000"/>
    <n v="758884"/>
    <n v="141116"/>
  </r>
  <r>
    <n v="1065"/>
    <s v="Amir "/>
    <x v="1"/>
    <s v="Nursery"/>
    <s v="Yes"/>
    <n v="35000"/>
    <n v="10000"/>
    <n v="15000"/>
    <n v="10000"/>
    <n v="5000"/>
    <n v="75000"/>
    <n v="900000"/>
    <n v="583048"/>
    <n v="316952"/>
  </r>
  <r>
    <n v="1066"/>
    <s v="Alishba "/>
    <x v="0"/>
    <s v="Nursery"/>
    <s v="Yes"/>
    <n v="35000"/>
    <n v="10000"/>
    <n v="15000"/>
    <n v="10000"/>
    <n v="5000"/>
    <n v="75000"/>
    <n v="900000"/>
    <n v="155494"/>
    <n v="744506"/>
  </r>
  <r>
    <n v="1067"/>
    <s v="Faiza"/>
    <x v="0"/>
    <s v="Nursery"/>
    <s v="No"/>
    <n v="35000"/>
    <n v="0"/>
    <n v="15000"/>
    <n v="10000"/>
    <n v="5000"/>
    <n v="65000"/>
    <n v="780000"/>
    <n v="131911"/>
    <n v="648089"/>
  </r>
  <r>
    <n v="1068"/>
    <s v="Yashfa"/>
    <x v="0"/>
    <s v="Nursery"/>
    <s v="No"/>
    <n v="35000"/>
    <n v="0"/>
    <n v="15000"/>
    <n v="10000"/>
    <n v="5000"/>
    <n v="65000"/>
    <n v="780000"/>
    <n v="602282"/>
    <n v="177718"/>
  </r>
  <r>
    <n v="1069"/>
    <s v="Zeeshan"/>
    <x v="1"/>
    <s v="Nursery"/>
    <s v="Yes"/>
    <n v="35000"/>
    <n v="10000"/>
    <n v="15000"/>
    <n v="10000"/>
    <n v="5000"/>
    <n v="75000"/>
    <n v="900000"/>
    <n v="509956"/>
    <n v="390044"/>
  </r>
  <r>
    <n v="1070"/>
    <s v="Faisal"/>
    <x v="1"/>
    <s v="Nursery"/>
    <s v="No"/>
    <n v="35000"/>
    <n v="0"/>
    <n v="15000"/>
    <n v="10000"/>
    <n v="5000"/>
    <n v="65000"/>
    <n v="780000"/>
    <n v="620276"/>
    <n v="159724"/>
  </r>
  <r>
    <n v="1071"/>
    <s v="Azra"/>
    <x v="0"/>
    <s v="Nursery"/>
    <s v="Yes"/>
    <n v="35000"/>
    <n v="10000"/>
    <n v="15000"/>
    <n v="10000"/>
    <n v="5000"/>
    <n v="75000"/>
    <n v="900000"/>
    <n v="97639"/>
    <n v="802361"/>
  </r>
  <r>
    <n v="1072"/>
    <s v="Iqra"/>
    <x v="0"/>
    <s v="Nursery"/>
    <s v="No"/>
    <n v="35000"/>
    <n v="0"/>
    <n v="15000"/>
    <n v="10000"/>
    <n v="5000"/>
    <n v="65000"/>
    <n v="780000"/>
    <n v="43383"/>
    <n v="736617"/>
  </r>
  <r>
    <n v="1073"/>
    <s v="Aroob"/>
    <x v="0"/>
    <s v="Prep"/>
    <s v="No"/>
    <n v="40000"/>
    <n v="0"/>
    <n v="15000"/>
    <n v="10000"/>
    <n v="5000"/>
    <n v="70000"/>
    <n v="840000"/>
    <n v="332061"/>
    <n v="507939"/>
  </r>
  <r>
    <n v="1074"/>
    <s v="Sara Khan"/>
    <x v="0"/>
    <s v="Prep"/>
    <s v="Yes"/>
    <n v="40000"/>
    <n v="10000"/>
    <n v="15000"/>
    <n v="10000"/>
    <n v="5000"/>
    <n v="80000"/>
    <n v="960000"/>
    <n v="452904"/>
    <n v="507096"/>
  </r>
  <r>
    <n v="1075"/>
    <s v="Ayeza Khan"/>
    <x v="0"/>
    <s v="Prep"/>
    <s v="No"/>
    <n v="40000"/>
    <n v="0"/>
    <n v="15000"/>
    <n v="10000"/>
    <n v="5000"/>
    <n v="70000"/>
    <n v="840000"/>
    <n v="363226"/>
    <n v="476774"/>
  </r>
  <r>
    <n v="1076"/>
    <s v="Shgufta "/>
    <x v="0"/>
    <s v="Prep"/>
    <s v="No"/>
    <n v="40000"/>
    <n v="0"/>
    <n v="15000"/>
    <n v="10000"/>
    <n v="5000"/>
    <n v="70000"/>
    <n v="840000"/>
    <n v="613119"/>
    <n v="226881"/>
  </r>
  <r>
    <n v="1077"/>
    <s v="Awais"/>
    <x v="1"/>
    <s v="Prep"/>
    <s v="Yes"/>
    <n v="40000"/>
    <n v="10000"/>
    <n v="15000"/>
    <n v="10000"/>
    <n v="5000"/>
    <n v="80000"/>
    <n v="960000"/>
    <n v="650265"/>
    <n v="309735"/>
  </r>
  <r>
    <n v="1078"/>
    <s v="Fatima Noor"/>
    <x v="0"/>
    <s v="Prep"/>
    <s v="Yes"/>
    <n v="40000"/>
    <n v="10000"/>
    <n v="15000"/>
    <n v="10000"/>
    <n v="5000"/>
    <n v="80000"/>
    <n v="960000"/>
    <n v="362106"/>
    <n v="597894"/>
  </r>
  <r>
    <n v="1079"/>
    <s v="Ahmed Raza"/>
    <x v="1"/>
    <s v="Prep"/>
    <s v="No"/>
    <n v="40000"/>
    <n v="0"/>
    <n v="15000"/>
    <n v="10000"/>
    <n v="5000"/>
    <n v="70000"/>
    <n v="840000"/>
    <n v="450356"/>
    <n v="389644"/>
  </r>
  <r>
    <n v="1080"/>
    <s v="Ayesha Khan"/>
    <x v="0"/>
    <s v="Prep"/>
    <s v="No"/>
    <n v="40000"/>
    <n v="0"/>
    <n v="15000"/>
    <n v="10000"/>
    <n v="5000"/>
    <n v="70000"/>
    <n v="840000"/>
    <n v="356868"/>
    <n v="483132"/>
  </r>
  <r>
    <n v="1081"/>
    <s v="Hamza Ali"/>
    <x v="1"/>
    <s v="Prep"/>
    <s v="No"/>
    <n v="40000"/>
    <n v="0"/>
    <n v="15000"/>
    <n v="10000"/>
    <n v="5000"/>
    <n v="70000"/>
    <n v="840000"/>
    <n v="164364"/>
    <n v="675636"/>
  </r>
  <r>
    <n v="1082"/>
    <s v="Maryam Iqbal"/>
    <x v="0"/>
    <s v="Prep"/>
    <s v="No"/>
    <n v="40000"/>
    <n v="0"/>
    <n v="15000"/>
    <n v="10000"/>
    <n v="5000"/>
    <n v="70000"/>
    <n v="840000"/>
    <n v="243574"/>
    <n v="596426"/>
  </r>
  <r>
    <n v="1083"/>
    <s v="Usman Tariq"/>
    <x v="1"/>
    <s v="Prep"/>
    <s v="No"/>
    <n v="40000"/>
    <n v="0"/>
    <n v="15000"/>
    <n v="10000"/>
    <n v="5000"/>
    <n v="70000"/>
    <n v="840000"/>
    <n v="442104"/>
    <n v="397896"/>
  </r>
  <r>
    <n v="1084"/>
    <s v="Hira Shah"/>
    <x v="0"/>
    <s v="Prep"/>
    <s v="Yes"/>
    <n v="40000"/>
    <n v="10000"/>
    <n v="15000"/>
    <n v="10000"/>
    <n v="5000"/>
    <n v="80000"/>
    <n v="960000"/>
    <n v="286466"/>
    <n v="673534"/>
  </r>
  <r>
    <n v="1085"/>
    <s v="Bilal Hussain"/>
    <x v="1"/>
    <s v="Prep"/>
    <s v="No"/>
    <n v="40000"/>
    <n v="0"/>
    <n v="15000"/>
    <n v="10000"/>
    <n v="5000"/>
    <n v="70000"/>
    <n v="840000"/>
    <n v="800587"/>
    <n v="39413"/>
  </r>
  <r>
    <n v="1086"/>
    <s v="Zainab Akram"/>
    <x v="0"/>
    <s v="Prep"/>
    <s v="Yes"/>
    <n v="40000"/>
    <n v="10000"/>
    <n v="15000"/>
    <n v="10000"/>
    <n v="5000"/>
    <n v="80000"/>
    <n v="960000"/>
    <n v="264257"/>
    <n v="695743"/>
  </r>
  <r>
    <n v="1087"/>
    <s v="Hassan Rauf"/>
    <x v="0"/>
    <s v="Prep"/>
    <s v="Yes"/>
    <n v="40000"/>
    <n v="10000"/>
    <n v="15000"/>
    <n v="10000"/>
    <n v="5000"/>
    <n v="80000"/>
    <n v="960000"/>
    <n v="337965"/>
    <n v="622035"/>
  </r>
  <r>
    <n v="1088"/>
    <s v="Sara Malik"/>
    <x v="0"/>
    <s v="Prep"/>
    <s v="Yes"/>
    <n v="40000"/>
    <n v="10000"/>
    <n v="15000"/>
    <n v="10000"/>
    <n v="5000"/>
    <n v="80000"/>
    <n v="960000"/>
    <n v="613954"/>
    <n v="346046"/>
  </r>
  <r>
    <n v="1089"/>
    <s v="Daniyal Khan"/>
    <x v="1"/>
    <s v="Prep"/>
    <s v="No"/>
    <n v="40000"/>
    <n v="0"/>
    <n v="15000"/>
    <n v="10000"/>
    <n v="5000"/>
    <n v="70000"/>
    <n v="840000"/>
    <n v="790964"/>
    <n v="49036"/>
  </r>
  <r>
    <n v="1090"/>
    <s v="Iqra Ahmed"/>
    <x v="0"/>
    <s v="Prep"/>
    <s v="No"/>
    <n v="40000"/>
    <n v="0"/>
    <n v="15000"/>
    <n v="10000"/>
    <n v="5000"/>
    <n v="70000"/>
    <n v="840000"/>
    <n v="773494"/>
    <n v="66506"/>
  </r>
  <r>
    <n v="1091"/>
    <s v="Saad Butt"/>
    <x v="1"/>
    <s v="Grade 1"/>
    <s v="No"/>
    <n v="45000"/>
    <n v="0"/>
    <n v="15000"/>
    <n v="10000"/>
    <n v="5000"/>
    <n v="75000"/>
    <n v="900000"/>
    <n v="483183"/>
    <n v="416817"/>
  </r>
  <r>
    <n v="1092"/>
    <s v="Noor Fatima Ahmad"/>
    <x v="0"/>
    <s v="Grade 1"/>
    <s v="Yes"/>
    <n v="45000"/>
    <n v="10000"/>
    <n v="15000"/>
    <n v="10000"/>
    <n v="5000"/>
    <n v="85000"/>
    <n v="1020000"/>
    <n v="1020000"/>
    <n v="0"/>
  </r>
  <r>
    <n v="1093"/>
    <s v="Abdullah Sheikh"/>
    <x v="1"/>
    <s v="Grade 1"/>
    <s v="Yes"/>
    <n v="45000"/>
    <n v="10000"/>
    <n v="15000"/>
    <n v="10000"/>
    <n v="5000"/>
    <n v="85000"/>
    <n v="1020000"/>
    <n v="756249"/>
    <n v="263751"/>
  </r>
  <r>
    <n v="1094"/>
    <s v="Anum Javed"/>
    <x v="0"/>
    <s v="Grade 1"/>
    <s v="No"/>
    <n v="45000"/>
    <n v="0"/>
    <n v="15000"/>
    <n v="10000"/>
    <n v="5000"/>
    <n v="75000"/>
    <n v="900000"/>
    <n v="734032"/>
    <n v="165968"/>
  </r>
  <r>
    <n v="1095"/>
    <s v="Farhan Ali"/>
    <x v="1"/>
    <s v="Grade 1"/>
    <s v="No"/>
    <n v="45000"/>
    <n v="0"/>
    <n v="15000"/>
    <n v="10000"/>
    <n v="5000"/>
    <n v="75000"/>
    <n v="900000"/>
    <n v="592344"/>
    <n v="307656"/>
  </r>
  <r>
    <n v="1096"/>
    <s v="Laiba Ashraf"/>
    <x v="0"/>
    <s v="Grade 1"/>
    <s v="Yes"/>
    <n v="45000"/>
    <n v="10000"/>
    <n v="15000"/>
    <n v="10000"/>
    <n v="5000"/>
    <n v="85000"/>
    <n v="1020000"/>
    <n v="110000"/>
    <n v="910000"/>
  </r>
  <r>
    <n v="1097"/>
    <s v="Rizwan Haider"/>
    <x v="1"/>
    <s v="Grade 1"/>
    <s v="Yes"/>
    <n v="45000"/>
    <n v="10000"/>
    <n v="15000"/>
    <n v="10000"/>
    <n v="5000"/>
    <n v="85000"/>
    <n v="1020000"/>
    <n v="191736"/>
    <n v="828264"/>
  </r>
  <r>
    <n v="1098"/>
    <s v="Sana Riaz"/>
    <x v="0"/>
    <s v="Grade 1"/>
    <s v="No"/>
    <n v="45000"/>
    <n v="0"/>
    <n v="15000"/>
    <n v="10000"/>
    <n v="5000"/>
    <n v="75000"/>
    <n v="900000"/>
    <n v="456828"/>
    <n v="443172"/>
  </r>
  <r>
    <n v="1099"/>
    <s v="Adeel Khan"/>
    <x v="1"/>
    <s v="Grade 1"/>
    <s v="No"/>
    <n v="45000"/>
    <n v="0"/>
    <n v="15000"/>
    <n v="10000"/>
    <n v="5000"/>
    <n v="75000"/>
    <n v="900000"/>
    <n v="334338"/>
    <n v="565662"/>
  </r>
  <r>
    <n v="1100"/>
    <s v="Madiha Noor"/>
    <x v="0"/>
    <s v="Grade 1"/>
    <s v="No"/>
    <n v="45000"/>
    <n v="0"/>
    <n v="15000"/>
    <n v="10000"/>
    <n v="5000"/>
    <n v="75000"/>
    <n v="900000"/>
    <n v="756137"/>
    <n v="143863"/>
  </r>
  <r>
    <n v="1101"/>
    <s v="Shahzaib Ahmed"/>
    <x v="1"/>
    <s v="Grade 1"/>
    <s v="No"/>
    <n v="45000"/>
    <n v="0"/>
    <n v="15000"/>
    <n v="10000"/>
    <n v="5000"/>
    <n v="75000"/>
    <n v="900000"/>
    <n v="720093"/>
    <n v="179907"/>
  </r>
  <r>
    <n v="1102"/>
    <s v="Kinza Tariq"/>
    <x v="0"/>
    <s v="Grade 1"/>
    <s v="No"/>
    <n v="45000"/>
    <n v="0"/>
    <n v="15000"/>
    <n v="10000"/>
    <n v="5000"/>
    <n v="75000"/>
    <n v="900000"/>
    <n v="398925"/>
    <n v="501075"/>
  </r>
  <r>
    <n v="1103"/>
    <s v="Salman Akhtar"/>
    <x v="1"/>
    <s v="Grade 1"/>
    <s v="Yes"/>
    <n v="45000"/>
    <n v="10000"/>
    <n v="15000"/>
    <n v="10000"/>
    <n v="5000"/>
    <n v="85000"/>
    <n v="1020000"/>
    <n v="654963"/>
    <n v="365037"/>
  </r>
  <r>
    <n v="1104"/>
    <s v="Bushra Iqbal"/>
    <x v="0"/>
    <s v="Grade 1"/>
    <s v="Yes"/>
    <n v="45000"/>
    <n v="10000"/>
    <n v="15000"/>
    <n v="10000"/>
    <n v="5000"/>
    <n v="85000"/>
    <n v="1020000"/>
    <n v="497268"/>
    <n v="522732"/>
  </r>
  <r>
    <n v="1105"/>
    <s v="Imran Siddique"/>
    <x v="1"/>
    <s v="Grade 1"/>
    <s v="Yes"/>
    <n v="45000"/>
    <n v="10000"/>
    <n v="15000"/>
    <n v="10000"/>
    <n v="5000"/>
    <n v="85000"/>
    <n v="1020000"/>
    <n v="605986"/>
    <n v="414014"/>
  </r>
  <r>
    <n v="1106"/>
    <s v="Mahnoor Ali"/>
    <x v="0"/>
    <s v="Grade 1"/>
    <s v="Yes"/>
    <n v="45000"/>
    <n v="10000"/>
    <n v="15000"/>
    <n v="10000"/>
    <n v="5000"/>
    <n v="85000"/>
    <n v="1020000"/>
    <n v="141940"/>
    <n v="878060"/>
  </r>
  <r>
    <n v="1107"/>
    <s v="Waqas Ahmad"/>
    <x v="1"/>
    <s v="Grade 1"/>
    <s v="No"/>
    <n v="45000"/>
    <n v="0"/>
    <n v="15000"/>
    <n v="10000"/>
    <n v="5000"/>
    <n v="75000"/>
    <n v="900000"/>
    <n v="516582"/>
    <n v="383418"/>
  </r>
  <r>
    <n v="1108"/>
    <s v="Eman Fatima"/>
    <x v="0"/>
    <s v="Grade 1"/>
    <s v="No"/>
    <n v="45000"/>
    <n v="0"/>
    <n v="15000"/>
    <n v="10000"/>
    <n v="5000"/>
    <n v="75000"/>
    <n v="900000"/>
    <n v="626313"/>
    <n v="273687"/>
  </r>
  <r>
    <n v="1109"/>
    <s v="Saba Aslam"/>
    <x v="0"/>
    <s v="Grade 2"/>
    <s v="Yes"/>
    <n v="50000"/>
    <n v="10000"/>
    <n v="15000"/>
    <n v="10000"/>
    <n v="5000"/>
    <n v="90000"/>
    <n v="1080000"/>
    <n v="407323"/>
    <n v="672677"/>
  </r>
  <r>
    <n v="1110"/>
    <s v="Noman Raza"/>
    <x v="1"/>
    <s v="Grade 2"/>
    <s v="Yes"/>
    <n v="50000"/>
    <n v="10000"/>
    <n v="15000"/>
    <n v="10000"/>
    <n v="5000"/>
    <n v="90000"/>
    <n v="1080000"/>
    <n v="601498"/>
    <n v="478502"/>
  </r>
  <r>
    <n v="1111"/>
    <s v="Junaid Khan"/>
    <x v="1"/>
    <s v="Grade 2"/>
    <s v="Yes"/>
    <n v="50000"/>
    <n v="10000"/>
    <n v="15000"/>
    <n v="10000"/>
    <n v="5000"/>
    <n v="90000"/>
    <n v="1080000"/>
    <n v="661117"/>
    <n v="418883"/>
  </r>
  <r>
    <n v="1112"/>
    <s v="Hafsa Malik"/>
    <x v="0"/>
    <s v="Grade 2"/>
    <s v="Yes"/>
    <n v="50000"/>
    <n v="10000"/>
    <n v="15000"/>
    <n v="10000"/>
    <n v="5000"/>
    <n v="90000"/>
    <n v="1080000"/>
    <n v="504291"/>
    <n v="575709"/>
  </r>
  <r>
    <n v="1113"/>
    <s v="Talha Mehmood"/>
    <x v="1"/>
    <s v="Grade 2"/>
    <s v="No"/>
    <n v="50000"/>
    <n v="0"/>
    <n v="15000"/>
    <n v="10000"/>
    <n v="5000"/>
    <n v="80000"/>
    <n v="960000"/>
    <n v="684112"/>
    <n v="275888"/>
  </r>
  <r>
    <n v="1114"/>
    <s v="Rimsha Noor"/>
    <x v="0"/>
    <s v="Grade 2"/>
    <s v="No"/>
    <n v="50000"/>
    <n v="0"/>
    <n v="15000"/>
    <n v="10000"/>
    <n v="5000"/>
    <n v="80000"/>
    <n v="960000"/>
    <n v="529494"/>
    <n v="430506"/>
  </r>
  <r>
    <n v="1115"/>
    <s v="Arslan Butt"/>
    <x v="1"/>
    <s v="Grade 2"/>
    <s v="Yes"/>
    <n v="50000"/>
    <n v="10000"/>
    <n v="15000"/>
    <n v="10000"/>
    <n v="5000"/>
    <n v="90000"/>
    <n v="1080000"/>
    <n v="254013"/>
    <n v="825987"/>
  </r>
  <r>
    <n v="1116"/>
    <s v="Areeba Khan"/>
    <x v="0"/>
    <s v="Grade 2"/>
    <s v="No"/>
    <n v="50000"/>
    <n v="0"/>
    <n v="15000"/>
    <n v="10000"/>
    <n v="5000"/>
    <n v="80000"/>
    <n v="960000"/>
    <n v="182170"/>
    <n v="777830"/>
  </r>
  <r>
    <n v="1117"/>
    <s v="Adam Khan"/>
    <x v="1"/>
    <s v="Grade 2"/>
    <s v="No"/>
    <n v="50000"/>
    <n v="0"/>
    <n v="15000"/>
    <n v="10000"/>
    <n v="5000"/>
    <n v="80000"/>
    <n v="960000"/>
    <n v="917843"/>
    <n v="42157"/>
  </r>
  <r>
    <n v="1118"/>
    <s v="Sarah Ahmed"/>
    <x v="0"/>
    <s v="Grade 2"/>
    <s v="Yes"/>
    <n v="50000"/>
    <n v="10000"/>
    <n v="15000"/>
    <n v="10000"/>
    <n v="5000"/>
    <n v="90000"/>
    <n v="1080000"/>
    <n v="825947"/>
    <n v="254053"/>
  </r>
  <r>
    <n v="1119"/>
    <s v="Daniel Raza"/>
    <x v="1"/>
    <s v="Grade 2"/>
    <s v="No"/>
    <n v="50000"/>
    <n v="0"/>
    <n v="15000"/>
    <n v="10000"/>
    <n v="5000"/>
    <n v="80000"/>
    <n v="960000"/>
    <n v="224880"/>
    <n v="735120"/>
  </r>
  <r>
    <n v="1120"/>
    <s v="Amina Noor"/>
    <x v="0"/>
    <s v="Grade 2"/>
    <s v="No"/>
    <n v="50000"/>
    <n v="0"/>
    <n v="15000"/>
    <n v="10000"/>
    <n v="5000"/>
    <n v="80000"/>
    <n v="960000"/>
    <n v="652409"/>
    <n v="307591"/>
  </r>
  <r>
    <n v="1121"/>
    <s v="Michael Ali"/>
    <x v="1"/>
    <s v="Grade 2"/>
    <s v="Yes"/>
    <n v="50000"/>
    <n v="10000"/>
    <n v="15000"/>
    <n v="10000"/>
    <n v="5000"/>
    <n v="90000"/>
    <n v="1080000"/>
    <n v="1031673"/>
    <n v="48327"/>
  </r>
  <r>
    <n v="1122"/>
    <s v="Hoorain Fatima"/>
    <x v="0"/>
    <s v="Grade 2"/>
    <s v="Yes"/>
    <n v="50000"/>
    <n v="10000"/>
    <n v="15000"/>
    <n v="10000"/>
    <n v="5000"/>
    <n v="90000"/>
    <n v="1080000"/>
    <n v="1025448"/>
    <n v="54552"/>
  </r>
  <r>
    <n v="1123"/>
    <s v="Ryan Sheikh"/>
    <x v="1"/>
    <s v="Grade 2"/>
    <s v="Yes"/>
    <n v="50000"/>
    <n v="10000"/>
    <n v="15000"/>
    <n v="10000"/>
    <n v="5000"/>
    <n v="90000"/>
    <n v="1080000"/>
    <n v="879091"/>
    <n v="200909"/>
  </r>
  <r>
    <n v="1124"/>
    <s v="Anaya Malik"/>
    <x v="0"/>
    <s v="Grade 2"/>
    <s v="Yes"/>
    <n v="50000"/>
    <n v="10000"/>
    <n v="15000"/>
    <n v="10000"/>
    <n v="5000"/>
    <n v="90000"/>
    <n v="1080000"/>
    <n v="666091"/>
    <n v="413909"/>
  </r>
  <r>
    <n v="1125"/>
    <s v="Kevin Hussain"/>
    <x v="1"/>
    <s v="Grade 2"/>
    <s v="No"/>
    <n v="50000"/>
    <n v="0"/>
    <n v="15000"/>
    <n v="10000"/>
    <n v="5000"/>
    <n v="80000"/>
    <n v="960000"/>
    <n v="858525"/>
    <n v="101475"/>
  </r>
  <r>
    <n v="1126"/>
    <s v="Sarmad"/>
    <x v="1"/>
    <s v="Grade 2"/>
    <s v="Yes"/>
    <n v="50000"/>
    <n v="10000"/>
    <n v="15000"/>
    <n v="10000"/>
    <n v="5000"/>
    <n v="90000"/>
    <n v="1080000"/>
    <n v="1065777"/>
    <n v="14223"/>
  </r>
  <r>
    <n v="1127"/>
    <s v="Alina Shah"/>
    <x v="0"/>
    <s v="Grade 3"/>
    <s v="Yes"/>
    <n v="55000"/>
    <n v="10000"/>
    <n v="15000"/>
    <n v="10000"/>
    <n v="5000"/>
    <n v="95000"/>
    <n v="1140000"/>
    <n v="462520"/>
    <n v="677480"/>
  </r>
  <r>
    <n v="1128"/>
    <s v="Zaviyar"/>
    <x v="0"/>
    <s v="Grade 3"/>
    <s v="No"/>
    <n v="55000"/>
    <n v="0"/>
    <n v="15000"/>
    <n v="10000"/>
    <n v="5000"/>
    <n v="85000"/>
    <n v="1020000"/>
    <n v="487584"/>
    <n v="532416"/>
  </r>
  <r>
    <n v="1129"/>
    <s v="Hassan Bloom"/>
    <x v="1"/>
    <s v="Grade 3"/>
    <s v="No"/>
    <n v="55000"/>
    <n v="0"/>
    <n v="15000"/>
    <n v="10000"/>
    <n v="5000"/>
    <n v="85000"/>
    <n v="1020000"/>
    <n v="317199"/>
    <n v="702801"/>
  </r>
  <r>
    <n v="1130"/>
    <s v="Maheen"/>
    <x v="0"/>
    <s v="Grade 3"/>
    <s v="Yes"/>
    <n v="55000"/>
    <n v="10000"/>
    <n v="15000"/>
    <n v="10000"/>
    <n v="5000"/>
    <n v="95000"/>
    <n v="1140000"/>
    <n v="348891"/>
    <n v="791109"/>
  </r>
  <r>
    <n v="1131"/>
    <s v="Emma Rauf"/>
    <x v="0"/>
    <s v="Grade 3"/>
    <s v="Yes"/>
    <n v="55000"/>
    <n v="10000"/>
    <n v="15000"/>
    <n v="10000"/>
    <n v="5000"/>
    <n v="95000"/>
    <n v="1140000"/>
    <n v="619491"/>
    <n v="520509"/>
  </r>
  <r>
    <n v="1132"/>
    <s v="Sabeera"/>
    <x v="0"/>
    <s v="Grade 3"/>
    <s v="No"/>
    <n v="55000"/>
    <n v="0"/>
    <n v="15000"/>
    <n v="10000"/>
    <n v="5000"/>
    <n v="85000"/>
    <n v="1020000"/>
    <n v="184458"/>
    <n v="835542"/>
  </r>
  <r>
    <n v="1133"/>
    <s v="Nehan"/>
    <x v="1"/>
    <s v="Grade 3"/>
    <s v="No"/>
    <n v="55000"/>
    <n v="0"/>
    <n v="15000"/>
    <n v="10000"/>
    <n v="5000"/>
    <n v="85000"/>
    <n v="1020000"/>
    <n v="194948"/>
    <n v="825052"/>
  </r>
  <r>
    <n v="1134"/>
    <s v="Nahyan"/>
    <x v="1"/>
    <s v="Grade 3"/>
    <s v="No"/>
    <n v="55000"/>
    <n v="0"/>
    <n v="15000"/>
    <n v="10000"/>
    <n v="5000"/>
    <n v="85000"/>
    <n v="1020000"/>
    <n v="356869"/>
    <n v="663131"/>
  </r>
  <r>
    <n v="1135"/>
    <s v="Haroon"/>
    <x v="1"/>
    <s v="Grade 3"/>
    <s v="No"/>
    <n v="55000"/>
    <n v="0"/>
    <n v="15000"/>
    <n v="10000"/>
    <n v="5000"/>
    <n v="85000"/>
    <n v="1020000"/>
    <n v="888104"/>
    <n v="131896"/>
  </r>
  <r>
    <n v="1136"/>
    <s v="Hamdan Qureshi"/>
    <x v="0"/>
    <s v="Grade 3"/>
    <s v="No"/>
    <n v="55000"/>
    <n v="0"/>
    <n v="15000"/>
    <n v="10000"/>
    <n v="5000"/>
    <n v="85000"/>
    <n v="1020000"/>
    <n v="221442"/>
    <n v="798558"/>
  </r>
  <r>
    <n v="1137"/>
    <s v="Sophia Iqbal"/>
    <x v="0"/>
    <s v="Grade 3"/>
    <s v="No"/>
    <n v="55000"/>
    <n v="0"/>
    <n v="15000"/>
    <n v="10000"/>
    <n v="5000"/>
    <n v="85000"/>
    <n v="1020000"/>
    <n v="1001770"/>
    <n v="18230"/>
  </r>
  <r>
    <n v="1138"/>
    <s v="Zain Walker"/>
    <x v="1"/>
    <s v="Grade 3"/>
    <s v="No"/>
    <n v="55000"/>
    <n v="0"/>
    <n v="15000"/>
    <n v="10000"/>
    <n v="5000"/>
    <n v="85000"/>
    <n v="1020000"/>
    <n v="179586"/>
    <n v="840414"/>
  </r>
  <r>
    <n v="1139"/>
    <s v="Maria Siddiqui"/>
    <x v="0"/>
    <s v="Grade 3"/>
    <s v="No"/>
    <n v="55000"/>
    <n v="0"/>
    <n v="15000"/>
    <n v="10000"/>
    <n v="5000"/>
    <n v="85000"/>
    <n v="1020000"/>
    <n v="285608"/>
    <n v="734392"/>
  </r>
  <r>
    <n v="1140"/>
    <s v="Jason Akhtar"/>
    <x v="1"/>
    <s v="Grade 3"/>
    <s v="Yes"/>
    <n v="55000"/>
    <n v="10000"/>
    <n v="15000"/>
    <n v="10000"/>
    <n v="5000"/>
    <n v="95000"/>
    <n v="1140000"/>
    <n v="535110"/>
    <n v="604890"/>
  </r>
  <r>
    <n v="1141"/>
    <s v="Eliza Khan"/>
    <x v="0"/>
    <s v="Grade 3"/>
    <s v="Yes"/>
    <n v="55000"/>
    <n v="10000"/>
    <n v="15000"/>
    <n v="10000"/>
    <n v="5000"/>
    <n v="95000"/>
    <n v="1140000"/>
    <n v="151513"/>
    <n v="988487"/>
  </r>
  <r>
    <n v="1142"/>
    <s v="Ibrahim Stone"/>
    <x v="1"/>
    <s v="Grade 3"/>
    <s v="Yes"/>
    <n v="55000"/>
    <n v="10000"/>
    <n v="15000"/>
    <n v="10000"/>
    <n v="5000"/>
    <n v="95000"/>
    <n v="1140000"/>
    <n v="427737"/>
    <n v="712263"/>
  </r>
  <r>
    <n v="1143"/>
    <s v="Areej Fatima"/>
    <x v="0"/>
    <s v="Grade 3"/>
    <s v="Yes"/>
    <n v="55000"/>
    <n v="10000"/>
    <n v="15000"/>
    <n v="10000"/>
    <n v="5000"/>
    <n v="95000"/>
    <n v="1140000"/>
    <n v="667800"/>
    <n v="472200"/>
  </r>
  <r>
    <n v="1144"/>
    <s v="Noah Tariq"/>
    <x v="1"/>
    <s v="Grade 3"/>
    <s v="No"/>
    <n v="55000"/>
    <n v="0"/>
    <n v="15000"/>
    <n v="10000"/>
    <n v="5000"/>
    <n v="85000"/>
    <n v="1020000"/>
    <n v="642082"/>
    <n v="377918"/>
  </r>
  <r>
    <n v="1145"/>
    <s v="Lily Ahmed"/>
    <x v="0"/>
    <s v="Grade 4"/>
    <s v="No"/>
    <n v="60000"/>
    <n v="0"/>
    <n v="15000"/>
    <n v="10000"/>
    <n v="5000"/>
    <n v="90000"/>
    <n v="1080000"/>
    <n v="935825"/>
    <n v="144175"/>
  </r>
  <r>
    <n v="1146"/>
    <s v="Rayyan Brooks"/>
    <x v="1"/>
    <s v="Grade 4"/>
    <s v="No"/>
    <n v="60000"/>
    <n v="0"/>
    <n v="15000"/>
    <n v="10000"/>
    <n v="5000"/>
    <n v="90000"/>
    <n v="1080000"/>
    <n v="999514"/>
    <n v="80486"/>
  </r>
  <r>
    <n v="1147"/>
    <s v="Maham Noor"/>
    <x v="0"/>
    <s v="Grade 4"/>
    <s v="No"/>
    <n v="60000"/>
    <n v="0"/>
    <n v="15000"/>
    <n v="10000"/>
    <n v="5000"/>
    <n v="90000"/>
    <n v="1080000"/>
    <n v="707992"/>
    <n v="372008"/>
  </r>
  <r>
    <n v="1148"/>
    <s v="Alex Farooq"/>
    <x v="1"/>
    <s v="Grade 4"/>
    <s v="Yes"/>
    <n v="60000"/>
    <n v="10000"/>
    <n v="15000"/>
    <n v="10000"/>
    <n v="5000"/>
    <n v="100000"/>
    <n v="1200000"/>
    <n v="401242"/>
    <n v="798758"/>
  </r>
  <r>
    <n v="1149"/>
    <s v="Hana Ali"/>
    <x v="0"/>
    <s v="Grade 4"/>
    <s v="Yes"/>
    <n v="60000"/>
    <n v="10000"/>
    <n v="15000"/>
    <n v="10000"/>
    <n v="5000"/>
    <n v="100000"/>
    <n v="1200000"/>
    <n v="339663"/>
    <n v="860337"/>
  </r>
  <r>
    <n v="1150"/>
    <s v="Ethan Butt"/>
    <x v="1"/>
    <s v="Grade 4"/>
    <s v="Yes"/>
    <n v="60000"/>
    <n v="10000"/>
    <n v="15000"/>
    <n v="10000"/>
    <n v="5000"/>
    <n v="100000"/>
    <n v="1200000"/>
    <n v="654889"/>
    <n v="545111"/>
  </r>
  <r>
    <n v="1151"/>
    <s v="Zara Collins"/>
    <x v="0"/>
    <s v="Grade 4"/>
    <s v="No"/>
    <n v="60000"/>
    <n v="0"/>
    <n v="15000"/>
    <n v="10000"/>
    <n v="5000"/>
    <n v="90000"/>
    <n v="1080000"/>
    <n v="420135"/>
    <n v="659865"/>
  </r>
  <r>
    <n v="1152"/>
    <s v="Saif Morgan"/>
    <x v="1"/>
    <s v="Grade 4"/>
    <s v="Yes"/>
    <n v="60000"/>
    <n v="10000"/>
    <n v="15000"/>
    <n v="10000"/>
    <n v="5000"/>
    <n v="100000"/>
    <n v="1200000"/>
    <n v="880243"/>
    <n v="319757"/>
  </r>
  <r>
    <n v="1153"/>
    <s v="Noor Ul Ain"/>
    <x v="0"/>
    <s v="Grade 4"/>
    <s v="Yes"/>
    <n v="60000"/>
    <n v="10000"/>
    <n v="15000"/>
    <n v="10000"/>
    <n v="5000"/>
    <n v="100000"/>
    <n v="1200000"/>
    <n v="957914"/>
    <n v="242086"/>
  </r>
  <r>
    <n v="1154"/>
    <s v="Owen Rashid"/>
    <x v="1"/>
    <s v="Grade 4"/>
    <s v="No"/>
    <n v="60000"/>
    <n v="0"/>
    <n v="15000"/>
    <n v="10000"/>
    <n v="5000"/>
    <n v="90000"/>
    <n v="1080000"/>
    <n v="508000"/>
    <n v="572000"/>
  </r>
  <r>
    <n v="1155"/>
    <s v="Mehwish Khan"/>
    <x v="0"/>
    <s v="Grade 4"/>
    <s v="No"/>
    <n v="60000"/>
    <n v="0"/>
    <n v="15000"/>
    <n v="10000"/>
    <n v="5000"/>
    <n v="90000"/>
    <n v="1080000"/>
    <n v="122622"/>
    <n v="957378"/>
  </r>
  <r>
    <n v="1156"/>
    <s v="Lucas Mehmood"/>
    <x v="0"/>
    <s v="Grade 4"/>
    <s v="Yes"/>
    <n v="60000"/>
    <n v="10000"/>
    <n v="15000"/>
    <n v="10000"/>
    <n v="5000"/>
    <n v="100000"/>
    <n v="1200000"/>
    <n v="557320"/>
    <n v="642680"/>
  </r>
  <r>
    <n v="1157"/>
    <s v="Aaliyah Shah"/>
    <x v="0"/>
    <s v="Grade 4"/>
    <s v="Yes"/>
    <n v="60000"/>
    <n v="10000"/>
    <n v="15000"/>
    <n v="10000"/>
    <n v="5000"/>
    <n v="100000"/>
    <n v="1200000"/>
    <n v="671938"/>
    <n v="528062"/>
  </r>
  <r>
    <n v="1158"/>
    <s v="Aaron Nawaz"/>
    <x v="0"/>
    <s v="Grade 4"/>
    <s v="No"/>
    <n v="60000"/>
    <n v="0"/>
    <n v="15000"/>
    <n v="10000"/>
    <n v="5000"/>
    <n v="90000"/>
    <n v="1080000"/>
    <n v="491887"/>
    <n v="588113"/>
  </r>
  <r>
    <n v="1159"/>
    <s v="Hiba Raza"/>
    <x v="0"/>
    <s v="Grade 4"/>
    <s v="Yes"/>
    <n v="60000"/>
    <n v="10000"/>
    <n v="15000"/>
    <n v="10000"/>
    <n v="5000"/>
    <n v="100000"/>
    <n v="1200000"/>
    <n v="134476"/>
    <n v="1065524"/>
  </r>
  <r>
    <n v="1160"/>
    <s v="David Ansari"/>
    <x v="1"/>
    <s v="Grade 4"/>
    <s v="Yes"/>
    <n v="60000"/>
    <n v="10000"/>
    <n v="15000"/>
    <n v="10000"/>
    <n v="5000"/>
    <n v="100000"/>
    <n v="1200000"/>
    <n v="457721"/>
    <n v="742279"/>
  </r>
  <r>
    <n v="1161"/>
    <s v="Inaya Noor"/>
    <x v="0"/>
    <s v="Grade 4"/>
    <s v="No"/>
    <n v="60000"/>
    <n v="0"/>
    <n v="15000"/>
    <n v="10000"/>
    <n v="5000"/>
    <n v="90000"/>
    <n v="1080000"/>
    <n v="563164"/>
    <n v="516836"/>
  </r>
  <r>
    <n v="1162"/>
    <s v="Samuel Qazi"/>
    <x v="1"/>
    <s v="Grade 4"/>
    <s v="No"/>
    <n v="60000"/>
    <n v="0"/>
    <n v="15000"/>
    <n v="10000"/>
    <n v="5000"/>
    <n v="90000"/>
    <n v="1080000"/>
    <n v="929401"/>
    <n v="150599"/>
  </r>
  <r>
    <n v="1163"/>
    <s v="Rida Malik"/>
    <x v="0"/>
    <s v="Grade 5"/>
    <s v="No"/>
    <n v="65000"/>
    <n v="0"/>
    <n v="15000"/>
    <n v="10000"/>
    <n v="5000"/>
    <n v="95000"/>
    <n v="1140000"/>
    <n v="913586"/>
    <n v="226414"/>
  </r>
  <r>
    <n v="1164"/>
    <s v="Leo Hassan"/>
    <x v="1"/>
    <s v="Grade 5"/>
    <s v="No"/>
    <n v="65000"/>
    <n v="0"/>
    <n v="15000"/>
    <n v="10000"/>
    <n v="5000"/>
    <n v="95000"/>
    <n v="1140000"/>
    <n v="119410"/>
    <n v="1020590"/>
  </r>
  <r>
    <n v="1165"/>
    <s v="Fariha Noor"/>
    <x v="0"/>
    <s v="Grade 5"/>
    <s v="Yes"/>
    <n v="65000"/>
    <n v="10000"/>
    <n v="15000"/>
    <n v="10000"/>
    <n v="5000"/>
    <n v="105000"/>
    <n v="1260000"/>
    <n v="892530"/>
    <n v="367470"/>
  </r>
  <r>
    <n v="1166"/>
    <s v="Oliver Javed"/>
    <x v="0"/>
    <s v="Grade 5"/>
    <s v="No"/>
    <n v="65000"/>
    <n v="0"/>
    <n v="15000"/>
    <n v="10000"/>
    <n v="5000"/>
    <n v="95000"/>
    <n v="1140000"/>
    <n v="521830"/>
    <n v="618170"/>
  </r>
  <r>
    <n v="1167"/>
    <s v="Ayesha Wood"/>
    <x v="0"/>
    <s v="Grade 5"/>
    <s v="No"/>
    <n v="65000"/>
    <n v="0"/>
    <n v="15000"/>
    <n v="10000"/>
    <n v="5000"/>
    <n v="95000"/>
    <n v="1140000"/>
    <n v="385589"/>
    <n v="754411"/>
  </r>
  <r>
    <n v="1168"/>
    <s v="Mark Iqbal"/>
    <x v="1"/>
    <s v="Grade 5"/>
    <s v="No"/>
    <n v="65000"/>
    <n v="0"/>
    <n v="15000"/>
    <n v="10000"/>
    <n v="5000"/>
    <n v="95000"/>
    <n v="1140000"/>
    <n v="888076"/>
    <n v="251924"/>
  </r>
  <r>
    <n v="1169"/>
    <s v="Talia Ahmed"/>
    <x v="0"/>
    <s v="Grade 5"/>
    <s v="No"/>
    <n v="65000"/>
    <n v="0"/>
    <n v="15000"/>
    <n v="10000"/>
    <n v="5000"/>
    <n v="95000"/>
    <n v="1140000"/>
    <n v="275665"/>
    <n v="864335"/>
  </r>
  <r>
    <n v="1170"/>
    <s v="Yusuf Grant"/>
    <x v="1"/>
    <s v="Grade 5"/>
    <s v="Yes"/>
    <n v="65000"/>
    <n v="10000"/>
    <n v="15000"/>
    <n v="10000"/>
    <n v="5000"/>
    <n v="105000"/>
    <n v="1260000"/>
    <n v="300421"/>
    <n v="959579"/>
  </r>
  <r>
    <n v="1171"/>
    <s v="Saniya Khan"/>
    <x v="0"/>
    <s v="Grade 5"/>
    <s v="Yes"/>
    <n v="65000"/>
    <n v="10000"/>
    <n v="15000"/>
    <n v="10000"/>
    <n v="5000"/>
    <n v="105000"/>
    <n v="1260000"/>
    <n v="399678"/>
    <n v="860322"/>
  </r>
  <r>
    <n v="1172"/>
    <s v="Ben Haider"/>
    <x v="1"/>
    <s v="Grade 5"/>
    <s v="Yes"/>
    <n v="65000"/>
    <n v="10000"/>
    <n v="15000"/>
    <n v="10000"/>
    <n v="5000"/>
    <n v="105000"/>
    <n v="1260000"/>
    <n v="646252"/>
    <n v="613748"/>
  </r>
  <r>
    <n v="1173"/>
    <s v="Iman Fatima"/>
    <x v="0"/>
    <s v="Grade 5"/>
    <s v="Yes"/>
    <n v="65000"/>
    <n v="10000"/>
    <n v="15000"/>
    <n v="10000"/>
    <n v="5000"/>
    <n v="105000"/>
    <n v="1260000"/>
    <n v="736849"/>
    <n v="523151"/>
  </r>
  <r>
    <n v="1174"/>
    <s v="Jacob Riaz"/>
    <x v="1"/>
    <s v="Grade 5"/>
    <s v="No"/>
    <n v="65000"/>
    <n v="0"/>
    <n v="15000"/>
    <n v="10000"/>
    <n v="5000"/>
    <n v="95000"/>
    <n v="1140000"/>
    <n v="161049"/>
    <n v="978951"/>
  </r>
  <r>
    <n v="1175"/>
    <s v="Amara Sheikh"/>
    <x v="0"/>
    <s v="Grade 5"/>
    <s v="No"/>
    <n v="65000"/>
    <n v="0"/>
    <n v="15000"/>
    <n v="10000"/>
    <n v="5000"/>
    <n v="95000"/>
    <n v="1140000"/>
    <n v="524819"/>
    <n v="615181"/>
  </r>
  <r>
    <n v="1176"/>
    <s v="Tony Aslam"/>
    <x v="1"/>
    <s v="Grade 5"/>
    <s v="Yes"/>
    <n v="65000"/>
    <n v="10000"/>
    <n v="15000"/>
    <n v="10000"/>
    <n v="5000"/>
    <n v="105000"/>
    <n v="1260000"/>
    <n v="999748"/>
    <n v="260252"/>
  </r>
  <r>
    <n v="1177"/>
    <s v="Khadija Noor"/>
    <x v="0"/>
    <s v="Grade 5"/>
    <s v="No"/>
    <n v="65000"/>
    <n v="0"/>
    <n v="15000"/>
    <n v="10000"/>
    <n v="5000"/>
    <n v="95000"/>
    <n v="1140000"/>
    <n v="240761"/>
    <n v="899239"/>
  </r>
  <r>
    <n v="1178"/>
    <s v="Scott Ali"/>
    <x v="1"/>
    <s v="Grade 5"/>
    <s v="No"/>
    <n v="65000"/>
    <n v="0"/>
    <n v="15000"/>
    <n v="10000"/>
    <n v="5000"/>
    <n v="95000"/>
    <n v="1140000"/>
    <n v="311508"/>
    <n v="828492"/>
  </r>
  <r>
    <n v="1179"/>
    <s v="Mahnoor Khan"/>
    <x v="0"/>
    <s v="Grade 5"/>
    <s v="Yes"/>
    <n v="65000"/>
    <n v="10000"/>
    <n v="15000"/>
    <n v="10000"/>
    <n v="5000"/>
    <n v="105000"/>
    <n v="1260000"/>
    <n v="565584"/>
    <n v="694416"/>
  </r>
  <r>
    <n v="1180"/>
    <s v="Calvin Tariq"/>
    <x v="0"/>
    <s v="Grade 5"/>
    <s v="Yes"/>
    <n v="65000"/>
    <n v="10000"/>
    <n v="15000"/>
    <n v="10000"/>
    <n v="5000"/>
    <n v="105000"/>
    <n v="1260000"/>
    <n v="1031745"/>
    <n v="228255"/>
  </r>
  <r>
    <n v="1181"/>
    <s v="Sana Rose"/>
    <x v="0"/>
    <s v="Grade 6"/>
    <s v="No"/>
    <n v="70000"/>
    <n v="0"/>
    <n v="15000"/>
    <n v="10000"/>
    <n v="5000"/>
    <n v="100000"/>
    <n v="1200000"/>
    <n v="998134"/>
    <n v="201866"/>
  </r>
  <r>
    <n v="1182"/>
    <s v="Daniel Butt"/>
    <x v="1"/>
    <s v="Grade 6"/>
    <s v="No"/>
    <n v="70000"/>
    <n v="0"/>
    <n v="15000"/>
    <n v="10000"/>
    <n v="5000"/>
    <n v="100000"/>
    <n v="1200000"/>
    <n v="1022448"/>
    <n v="177552"/>
  </r>
  <r>
    <n v="1183"/>
    <s v="Iqra James"/>
    <x v="0"/>
    <s v="Grade 6"/>
    <s v="No"/>
    <n v="70000"/>
    <n v="0"/>
    <n v="15000"/>
    <n v="10000"/>
    <n v="5000"/>
    <n v="100000"/>
    <n v="1200000"/>
    <n v="201360"/>
    <n v="998640"/>
  </r>
  <r>
    <n v="1184"/>
    <s v="Ryan Mehmood"/>
    <x v="1"/>
    <s v="Grade 6"/>
    <s v="Yes"/>
    <n v="70000"/>
    <n v="10000"/>
    <n v="15000"/>
    <n v="10000"/>
    <n v="5000"/>
    <n v="110000"/>
    <n v="1320000"/>
    <n v="1100000"/>
    <n v="220000"/>
  </r>
  <r>
    <n v="1185"/>
    <s v="Zoya White"/>
    <x v="0"/>
    <s v="Grade 6"/>
    <s v="No"/>
    <n v="70000"/>
    <n v="0"/>
    <n v="15000"/>
    <n v="10000"/>
    <n v="5000"/>
    <n v="100000"/>
    <n v="1200000"/>
    <n v="168385"/>
    <n v="1031615"/>
  </r>
  <r>
    <n v="1186"/>
    <s v="Nathan Rauf"/>
    <x v="1"/>
    <s v="Grade 6"/>
    <s v="Yes"/>
    <n v="70000"/>
    <n v="10000"/>
    <n v="15000"/>
    <n v="10000"/>
    <n v="5000"/>
    <n v="110000"/>
    <n v="1320000"/>
    <n v="608691"/>
    <n v="711309"/>
  </r>
  <r>
    <n v="1187"/>
    <s v="Bushra Lane"/>
    <x v="0"/>
    <s v="Grade 6"/>
    <s v="No"/>
    <n v="70000"/>
    <n v="0"/>
    <n v="15000"/>
    <n v="10000"/>
    <n v="5000"/>
    <n v="100000"/>
    <n v="1200000"/>
    <n v="917848"/>
    <n v="282152"/>
  </r>
  <r>
    <n v="1188"/>
    <s v="Amir Watson"/>
    <x v="1"/>
    <s v="Grade 6"/>
    <s v="Yes"/>
    <n v="70000"/>
    <n v="10000"/>
    <n v="15000"/>
    <n v="10000"/>
    <n v="5000"/>
    <n v="110000"/>
    <n v="1320000"/>
    <n v="942453"/>
    <n v="377547"/>
  </r>
  <r>
    <n v="1189"/>
    <s v="Eshal Noor"/>
    <x v="0"/>
    <s v="Grade 6"/>
    <s v="Yes"/>
    <n v="70000"/>
    <n v="10000"/>
    <n v="15000"/>
    <n v="10000"/>
    <n v="5000"/>
    <n v="110000"/>
    <n v="1320000"/>
    <n v="804443"/>
    <n v="515557"/>
  </r>
  <r>
    <n v="1190"/>
    <s v="Chris Qureshi"/>
    <x v="1"/>
    <s v="Grade 6"/>
    <s v="No"/>
    <n v="70000"/>
    <n v="0"/>
    <n v="15000"/>
    <n v="10000"/>
    <n v="5000"/>
    <n v="100000"/>
    <n v="1200000"/>
    <n v="401018"/>
    <n v="798982"/>
  </r>
  <r>
    <n v="1191"/>
    <s v="Laiba Adams"/>
    <x v="0"/>
    <s v="Grade 6"/>
    <s v="No"/>
    <n v="70000"/>
    <n v="0"/>
    <n v="15000"/>
    <n v="10000"/>
    <n v="5000"/>
    <n v="100000"/>
    <n v="1200000"/>
    <n v="1067638"/>
    <n v="132362"/>
  </r>
  <r>
    <n v="1192"/>
    <s v="Ayan Scott"/>
    <x v="1"/>
    <s v="Grade 6"/>
    <s v="No"/>
    <n v="70000"/>
    <n v="0"/>
    <n v="15000"/>
    <n v="10000"/>
    <n v="5000"/>
    <n v="100000"/>
    <n v="1200000"/>
    <n v="508162"/>
    <n v="691838"/>
  </r>
  <r>
    <n v="1193"/>
    <s v="Miriam Khan"/>
    <x v="0"/>
    <s v="Grade 6"/>
    <s v="No"/>
    <n v="70000"/>
    <n v="0"/>
    <n v="15000"/>
    <n v="10000"/>
    <n v="5000"/>
    <n v="100000"/>
    <n v="1200000"/>
    <n v="479394"/>
    <n v="720606"/>
  </r>
  <r>
    <n v="1194"/>
    <s v="Emma Rauf"/>
    <x v="0"/>
    <s v="Grade 6"/>
    <s v="No"/>
    <n v="70000"/>
    <n v="0"/>
    <n v="15000"/>
    <n v="10000"/>
    <n v="5000"/>
    <n v="100000"/>
    <n v="1200000"/>
    <n v="463450"/>
    <n v="736550"/>
  </r>
  <r>
    <n v="1195"/>
    <s v="Peter Akram"/>
    <x v="1"/>
    <s v="Grade 6"/>
    <s v="Yes"/>
    <n v="70000"/>
    <n v="10000"/>
    <n v="15000"/>
    <n v="10000"/>
    <n v="5000"/>
    <n v="110000"/>
    <n v="1320000"/>
    <n v="580048"/>
    <n v="739952"/>
  </r>
  <r>
    <n v="1196"/>
    <s v="Farooq Ahmad"/>
    <x v="1"/>
    <s v="Grade 6"/>
    <s v="Yes"/>
    <n v="70000"/>
    <n v="10000"/>
    <n v="15000"/>
    <n v="10000"/>
    <n v="5000"/>
    <n v="110000"/>
    <n v="1320000"/>
    <n v="389740"/>
    <n v="930260"/>
  </r>
  <r>
    <n v="1197"/>
    <s v="Anum Grey"/>
    <x v="1"/>
    <s v="Grade 6"/>
    <s v="Yes"/>
    <n v="70000"/>
    <n v="10000"/>
    <n v="15000"/>
    <n v="10000"/>
    <n v="5000"/>
    <n v="110000"/>
    <n v="1320000"/>
    <n v="990243"/>
    <n v="329757"/>
  </r>
  <r>
    <n v="1198"/>
    <s v="sara"/>
    <x v="0"/>
    <s v="Grade 6"/>
    <s v="Yes"/>
    <n v="70000"/>
    <n v="10000"/>
    <n v="15000"/>
    <n v="10000"/>
    <n v="5000"/>
    <n v="110000"/>
    <n v="1320000"/>
    <n v="431854"/>
    <n v="888146"/>
  </r>
  <r>
    <n v="1199"/>
    <s v="Shawn Ali"/>
    <x v="1"/>
    <s v="Grade 7"/>
    <s v="No"/>
    <n v="75000"/>
    <n v="0"/>
    <n v="15000"/>
    <n v="10000"/>
    <n v="5000"/>
    <n v="105000"/>
    <n v="1260000"/>
    <n v="278440"/>
    <n v="981560"/>
  </r>
  <r>
    <n v="1200"/>
    <s v="amna"/>
    <x v="0"/>
    <s v="Grade 7"/>
    <s v="No"/>
    <n v="75000"/>
    <n v="0"/>
    <n v="15000"/>
    <n v="10000"/>
    <n v="5000"/>
    <n v="105000"/>
    <n v="1260000"/>
    <n v="457361"/>
    <n v="802639"/>
  </r>
  <r>
    <n v="1201"/>
    <s v="Noreen Malik"/>
    <x v="0"/>
    <s v="Grade 7"/>
    <s v="No"/>
    <n v="75000"/>
    <n v="0"/>
    <n v="15000"/>
    <n v="10000"/>
    <n v="5000"/>
    <n v="105000"/>
    <n v="1260000"/>
    <n v="327414"/>
    <n v="932586"/>
  </r>
  <r>
    <n v="1202"/>
    <s v="Jahan Ara"/>
    <x v="0"/>
    <s v="Grade 7"/>
    <s v="Yes"/>
    <n v="75000"/>
    <n v="10000"/>
    <n v="15000"/>
    <n v="10000"/>
    <n v="5000"/>
    <n v="115000"/>
    <n v="1380000"/>
    <n v="480367"/>
    <n v="899633"/>
  </r>
  <r>
    <n v="1203"/>
    <s v="Hamid Brooks"/>
    <x v="1"/>
    <s v="Grade 7"/>
    <s v="No"/>
    <n v="75000"/>
    <n v="0"/>
    <n v="15000"/>
    <n v="10000"/>
    <n v="5000"/>
    <n v="105000"/>
    <n v="1260000"/>
    <n v="562596"/>
    <n v="697404"/>
  </r>
  <r>
    <n v="1204"/>
    <s v="Irfan "/>
    <x v="1"/>
    <s v="Grade 7"/>
    <s v="Yes"/>
    <n v="75000"/>
    <n v="10000"/>
    <n v="15000"/>
    <n v="10000"/>
    <n v="5000"/>
    <n v="115000"/>
    <n v="1380000"/>
    <n v="480449"/>
    <n v="899551"/>
  </r>
  <r>
    <n v="1205"/>
    <s v="Clara Hussain"/>
    <x v="1"/>
    <s v="Grade 7"/>
    <s v="No"/>
    <n v="75000"/>
    <n v="0"/>
    <n v="15000"/>
    <n v="10000"/>
    <n v="5000"/>
    <n v="105000"/>
    <n v="1260000"/>
    <n v="123864"/>
    <n v="1136136"/>
  </r>
  <r>
    <n v="1206"/>
    <s v="Adam Ali "/>
    <x v="1"/>
    <s v="Grade 7"/>
    <s v="No"/>
    <n v="75000"/>
    <n v="0"/>
    <n v="15000"/>
    <n v="10000"/>
    <n v="5000"/>
    <n v="105000"/>
    <n v="1260000"/>
    <n v="455773"/>
    <n v="804227"/>
  </r>
  <r>
    <n v="1207"/>
    <s v="Justin Raza"/>
    <x v="1"/>
    <s v="Grade 7"/>
    <s v="Yes"/>
    <n v="75000"/>
    <n v="10000"/>
    <n v="15000"/>
    <n v="10000"/>
    <n v="5000"/>
    <n v="115000"/>
    <n v="1380000"/>
    <n v="1268223"/>
    <n v="111777"/>
  </r>
  <r>
    <n v="1208"/>
    <s v="Farah Stone"/>
    <x v="0"/>
    <s v="Grade 7"/>
    <s v="Yes"/>
    <n v="75000"/>
    <n v="10000"/>
    <n v="15000"/>
    <n v="10000"/>
    <n v="5000"/>
    <n v="115000"/>
    <n v="1380000"/>
    <n v="589147"/>
    <n v="790853"/>
  </r>
  <r>
    <n v="1209"/>
    <s v="Alex Brown"/>
    <x v="1"/>
    <s v="Grade 7"/>
    <s v="No"/>
    <n v="75000"/>
    <n v="0"/>
    <n v="15000"/>
    <n v="10000"/>
    <n v="5000"/>
    <n v="105000"/>
    <n v="1260000"/>
    <n v="556991"/>
    <n v="703009"/>
  </r>
  <r>
    <n v="1210"/>
    <s v="ahamad"/>
    <x v="1"/>
    <s v="Grade 7"/>
    <s v="Yes"/>
    <n v="75000"/>
    <n v="10000"/>
    <n v="15000"/>
    <n v="10000"/>
    <n v="5000"/>
    <n v="115000"/>
    <n v="1380000"/>
    <n v="760027"/>
    <n v="619973"/>
  </r>
  <r>
    <n v="1211"/>
    <s v="Sarah Smith"/>
    <x v="0"/>
    <s v="Grade 7"/>
    <s v="No"/>
    <n v="75000"/>
    <n v="0"/>
    <n v="15000"/>
    <n v="10000"/>
    <n v="5000"/>
    <n v="105000"/>
    <n v="1260000"/>
    <n v="199832"/>
    <n v="1060168"/>
  </r>
  <r>
    <n v="1212"/>
    <s v="Fatima Junaid"/>
    <x v="0"/>
    <s v="Grade 7"/>
    <s v="Yes"/>
    <n v="75000"/>
    <n v="10000"/>
    <n v="15000"/>
    <n v="10000"/>
    <n v="5000"/>
    <n v="115000"/>
    <n v="1380000"/>
    <n v="894484"/>
    <n v="485516"/>
  </r>
  <r>
    <n v="1213"/>
    <s v="Daniel Khan"/>
    <x v="1"/>
    <s v="Grade 7"/>
    <s v="Yes"/>
    <n v="75000"/>
    <n v="10000"/>
    <n v="15000"/>
    <n v="10000"/>
    <n v="5000"/>
    <n v="115000"/>
    <n v="1380000"/>
    <n v="722523"/>
    <n v="657477"/>
  </r>
  <r>
    <n v="1214"/>
    <s v="Ruchika"/>
    <x v="0"/>
    <s v="Grade 7"/>
    <s v="Yes"/>
    <n v="75000"/>
    <n v="10000"/>
    <n v="15000"/>
    <n v="10000"/>
    <n v="5000"/>
    <n v="115000"/>
    <n v="1380000"/>
    <n v="398679"/>
    <n v="981321"/>
  </r>
  <r>
    <n v="1215"/>
    <s v="Amina Ali"/>
    <x v="0"/>
    <s v="Grade 7"/>
    <s v="No"/>
    <n v="75000"/>
    <n v="0"/>
    <n v="15000"/>
    <n v="10000"/>
    <n v="5000"/>
    <n v="105000"/>
    <n v="1260000"/>
    <n v="1255000"/>
    <n v="5000"/>
  </r>
  <r>
    <n v="1216"/>
    <s v="Shahruk Khan"/>
    <x v="1"/>
    <s v="Grade 7"/>
    <s v="No"/>
    <n v="75000"/>
    <n v="0"/>
    <n v="15000"/>
    <n v="10000"/>
    <n v="5000"/>
    <n v="105000"/>
    <n v="1260000"/>
    <n v="144076"/>
    <n v="1115924"/>
  </r>
  <r>
    <n v="1217"/>
    <s v="Michael Ahmed"/>
    <x v="1"/>
    <s v="Grade 8"/>
    <s v="No"/>
    <n v="80000"/>
    <n v="0"/>
    <n v="15000"/>
    <n v="10000"/>
    <n v="5000"/>
    <n v="110000"/>
    <n v="1320000"/>
    <n v="1040038"/>
    <n v="279962"/>
  </r>
  <r>
    <n v="1218"/>
    <s v="Sana"/>
    <x v="0"/>
    <s v="Grade 8"/>
    <s v="Yes"/>
    <n v="80000"/>
    <n v="10000"/>
    <n v="15000"/>
    <n v="10000"/>
    <n v="5000"/>
    <n v="120000"/>
    <n v="1440000"/>
    <n v="346298"/>
    <n v="1093702"/>
  </r>
  <r>
    <n v="1219"/>
    <s v="Hoorain Fatima"/>
    <x v="0"/>
    <s v="Grade 8"/>
    <s v="Yes"/>
    <n v="80000"/>
    <n v="10000"/>
    <n v="15000"/>
    <n v="10000"/>
    <n v="5000"/>
    <n v="120000"/>
    <n v="1440000"/>
    <n v="581024"/>
    <n v="858976"/>
  </r>
  <r>
    <n v="1220"/>
    <s v="Amna Shoaib"/>
    <x v="0"/>
    <s v="Grade 8"/>
    <s v="No"/>
    <n v="80000"/>
    <n v="0"/>
    <n v="15000"/>
    <n v="10000"/>
    <n v="5000"/>
    <n v="110000"/>
    <n v="1320000"/>
    <n v="1257557"/>
    <n v="62443"/>
  </r>
  <r>
    <n v="1221"/>
    <s v="Ryan Sheikh"/>
    <x v="1"/>
    <s v="Grade 8"/>
    <s v="No"/>
    <n v="80000"/>
    <n v="0"/>
    <n v="15000"/>
    <n v="10000"/>
    <n v="5000"/>
    <n v="110000"/>
    <n v="1320000"/>
    <n v="203000"/>
    <n v="1117000"/>
  </r>
  <r>
    <n v="1222"/>
    <s v="Hina"/>
    <x v="0"/>
    <s v="Grade 8"/>
    <s v="Yes"/>
    <n v="80000"/>
    <n v="10000"/>
    <n v="15000"/>
    <n v="10000"/>
    <n v="5000"/>
    <n v="120000"/>
    <n v="1440000"/>
    <n v="193344"/>
    <n v="1246656"/>
  </r>
  <r>
    <n v="1223"/>
    <s v="Anaya Malik"/>
    <x v="0"/>
    <s v="Grade 8"/>
    <s v="Yes"/>
    <n v="80000"/>
    <n v="10000"/>
    <n v="15000"/>
    <n v="10000"/>
    <n v="5000"/>
    <n v="120000"/>
    <n v="1440000"/>
    <n v="290529"/>
    <n v="1149471"/>
  </r>
  <r>
    <n v="1224"/>
    <s v="Aqsa"/>
    <x v="0"/>
    <s v="Grade 8"/>
    <s v="Yes"/>
    <n v="80000"/>
    <n v="10000"/>
    <n v="15000"/>
    <n v="10000"/>
    <n v="5000"/>
    <n v="120000"/>
    <n v="1440000"/>
    <n v="752860"/>
    <n v="687140"/>
  </r>
  <r>
    <n v="1225"/>
    <s v="Kevin Hussain"/>
    <x v="1"/>
    <s v="Grade 8"/>
    <s v="No"/>
    <n v="80000"/>
    <n v="0"/>
    <n v="15000"/>
    <n v="10000"/>
    <n v="5000"/>
    <n v="110000"/>
    <n v="1320000"/>
    <n v="895207"/>
    <n v="424793"/>
  </r>
  <r>
    <n v="1226"/>
    <s v="Areeb"/>
    <x v="1"/>
    <s v="Grade 8"/>
    <s v="No"/>
    <n v="80000"/>
    <n v="0"/>
    <n v="15000"/>
    <n v="10000"/>
    <n v="5000"/>
    <n v="110000"/>
    <n v="1320000"/>
    <n v="516921"/>
    <n v="803079"/>
  </r>
  <r>
    <n v="1227"/>
    <s v="Alina Shah"/>
    <x v="0"/>
    <s v="Grade 8"/>
    <s v="Yes"/>
    <n v="80000"/>
    <n v="10000"/>
    <n v="15000"/>
    <n v="10000"/>
    <n v="5000"/>
    <n v="120000"/>
    <n v="1440000"/>
    <n v="203460"/>
    <n v="1236540"/>
  </r>
  <r>
    <n v="1228"/>
    <s v="Hammad"/>
    <x v="1"/>
    <s v="Grade 8"/>
    <s v="No"/>
    <n v="80000"/>
    <n v="0"/>
    <n v="15000"/>
    <n v="10000"/>
    <n v="5000"/>
    <n v="110000"/>
    <n v="1320000"/>
    <n v="627559"/>
    <n v="692441"/>
  </r>
  <r>
    <n v="1229"/>
    <s v="Jason Raza"/>
    <x v="1"/>
    <s v="Grade 8"/>
    <s v="No"/>
    <n v="80000"/>
    <n v="0"/>
    <n v="15000"/>
    <n v="10000"/>
    <n v="5000"/>
    <n v="110000"/>
    <n v="1320000"/>
    <n v="584402"/>
    <n v="735598"/>
  </r>
  <r>
    <n v="1230"/>
    <s v="Jannat Mirza"/>
    <x v="0"/>
    <s v="Grade 8"/>
    <s v="Yes"/>
    <n v="80000"/>
    <n v="10000"/>
    <n v="15000"/>
    <n v="10000"/>
    <n v="5000"/>
    <n v="120000"/>
    <n v="1440000"/>
    <n v="655733"/>
    <n v="784267"/>
  </r>
  <r>
    <n v="1231"/>
    <s v="Emma Noor"/>
    <x v="0"/>
    <s v="Grade 8"/>
    <s v="Yes"/>
    <n v="80000"/>
    <n v="10000"/>
    <n v="15000"/>
    <n v="10000"/>
    <n v="5000"/>
    <n v="120000"/>
    <n v="1440000"/>
    <n v="833077"/>
    <n v="606923"/>
  </r>
  <r>
    <n v="1232"/>
    <s v="Ayaz"/>
    <x v="1"/>
    <s v="Grade 8"/>
    <s v="No"/>
    <n v="80000"/>
    <n v="0"/>
    <n v="15000"/>
    <n v="10000"/>
    <n v="5000"/>
    <n v="110000"/>
    <n v="1320000"/>
    <n v="957447"/>
    <n v="362553"/>
  </r>
  <r>
    <n v="1233"/>
    <s v="Hamdan Qureshi"/>
    <x v="0"/>
    <s v="Grade 8"/>
    <s v="Yes"/>
    <n v="80000"/>
    <n v="10000"/>
    <n v="15000"/>
    <n v="10000"/>
    <n v="5000"/>
    <n v="120000"/>
    <n v="1440000"/>
    <n v="838013"/>
    <n v="601987"/>
  </r>
  <r>
    <n v="1234"/>
    <s v="Mayeda "/>
    <x v="0"/>
    <s v="Grade 8"/>
    <s v="No"/>
    <n v="80000"/>
    <n v="0"/>
    <n v="15000"/>
    <n v="10000"/>
    <n v="5000"/>
    <n v="110000"/>
    <n v="1320000"/>
    <n v="558606"/>
    <n v="761394"/>
  </r>
  <r>
    <n v="1235"/>
    <s v="Sophia Iqbal"/>
    <x v="0"/>
    <s v="Grade 9"/>
    <s v="Yes"/>
    <n v="85000"/>
    <n v="10000"/>
    <n v="15000"/>
    <n v="10000"/>
    <n v="5000"/>
    <n v="125000"/>
    <n v="1500000"/>
    <n v="1093664"/>
    <n v="406336"/>
  </r>
  <r>
    <n v="1236"/>
    <s v="Shiza"/>
    <x v="0"/>
    <s v="Grade 9"/>
    <s v="No"/>
    <n v="85000"/>
    <n v="0"/>
    <n v="15000"/>
    <n v="10000"/>
    <n v="5000"/>
    <n v="115000"/>
    <n v="1380000"/>
    <n v="349910"/>
    <n v="1030090"/>
  </r>
  <r>
    <n v="1237"/>
    <s v="Zain Walker"/>
    <x v="1"/>
    <s v="Grade 9"/>
    <s v="Yes"/>
    <n v="85000"/>
    <n v="10000"/>
    <n v="15000"/>
    <n v="10000"/>
    <n v="5000"/>
    <n v="125000"/>
    <n v="1500000"/>
    <n v="878632"/>
    <n v="621368"/>
  </r>
  <r>
    <n v="1238"/>
    <s v="Iffa"/>
    <x v="0"/>
    <s v="Grade 9"/>
    <s v="No"/>
    <n v="85000"/>
    <n v="0"/>
    <n v="15000"/>
    <n v="10000"/>
    <n v="5000"/>
    <n v="115000"/>
    <n v="1380000"/>
    <n v="778531"/>
    <n v="601469"/>
  </r>
  <r>
    <n v="1239"/>
    <s v="Maria Siddiqui"/>
    <x v="0"/>
    <s v="Grade 9"/>
    <s v="No"/>
    <n v="85000"/>
    <n v="0"/>
    <n v="15000"/>
    <n v="10000"/>
    <n v="5000"/>
    <n v="115000"/>
    <n v="1380000"/>
    <n v="622305"/>
    <n v="757695"/>
  </r>
  <r>
    <n v="1240"/>
    <s v="Ghania"/>
    <x v="0"/>
    <s v="Grade 9"/>
    <s v="No"/>
    <n v="85000"/>
    <n v="0"/>
    <n v="15000"/>
    <n v="10000"/>
    <n v="5000"/>
    <n v="115000"/>
    <n v="1380000"/>
    <n v="611846"/>
    <n v="768154"/>
  </r>
  <r>
    <n v="1241"/>
    <s v="Oliver Akhtar"/>
    <x v="0"/>
    <s v="Grade 9"/>
    <s v="No"/>
    <n v="85000"/>
    <n v="0"/>
    <n v="15000"/>
    <n v="10000"/>
    <n v="5000"/>
    <n v="115000"/>
    <n v="1380000"/>
    <n v="422473"/>
    <n v="957527"/>
  </r>
  <r>
    <n v="1242"/>
    <s v="Mehak"/>
    <x v="0"/>
    <s v="Grade 9"/>
    <s v="No"/>
    <n v="85000"/>
    <n v="0"/>
    <n v="15000"/>
    <n v="10000"/>
    <n v="5000"/>
    <n v="115000"/>
    <n v="1380000"/>
    <n v="738240"/>
    <n v="641760"/>
  </r>
  <r>
    <n v="1243"/>
    <s v="Eliza Khan"/>
    <x v="0"/>
    <s v="Grade 9"/>
    <s v="Yes"/>
    <n v="85000"/>
    <n v="10000"/>
    <n v="15000"/>
    <n v="10000"/>
    <n v="5000"/>
    <n v="125000"/>
    <n v="1500000"/>
    <n v="505912"/>
    <n v="994088"/>
  </r>
  <r>
    <n v="1244"/>
    <s v="Hanan"/>
    <x v="1"/>
    <s v="Grade 9"/>
    <s v="No"/>
    <n v="85000"/>
    <n v="0"/>
    <n v="15000"/>
    <n v="10000"/>
    <n v="5000"/>
    <n v="115000"/>
    <n v="1380000"/>
    <n v="616963"/>
    <n v="763037"/>
  </r>
  <r>
    <n v="1245"/>
    <s v="Ibrahim Tariq"/>
    <x v="1"/>
    <s v="Grade 9"/>
    <s v="No"/>
    <n v="85000"/>
    <n v="0"/>
    <n v="15000"/>
    <n v="10000"/>
    <n v="5000"/>
    <n v="115000"/>
    <n v="1380000"/>
    <n v="449553"/>
    <n v="930447"/>
  </r>
  <r>
    <n v="1246"/>
    <s v="Shaheen Afridi"/>
    <x v="1"/>
    <s v="Grade 9"/>
    <s v="No"/>
    <n v="85000"/>
    <n v="0"/>
    <n v="15000"/>
    <n v="10000"/>
    <n v="5000"/>
    <n v="115000"/>
    <n v="1380000"/>
    <n v="755361"/>
    <n v="624639"/>
  </r>
  <r>
    <n v="1247"/>
    <s v="Areej Fatima"/>
    <x v="0"/>
    <s v="Grade 9"/>
    <s v="Yes"/>
    <n v="85000"/>
    <n v="10000"/>
    <n v="15000"/>
    <n v="10000"/>
    <n v="5000"/>
    <n v="125000"/>
    <n v="1500000"/>
    <n v="699773"/>
    <n v="800227"/>
  </r>
  <r>
    <n v="1248"/>
    <s v="Babar Azam"/>
    <x v="1"/>
    <s v="Grade 9"/>
    <s v="Yes"/>
    <n v="85000"/>
    <n v="10000"/>
    <n v="15000"/>
    <n v="10000"/>
    <n v="5000"/>
    <n v="125000"/>
    <n v="1500000"/>
    <n v="1392178"/>
    <n v="107822"/>
  </r>
  <r>
    <n v="1249"/>
    <s v="Noah Butt"/>
    <x v="0"/>
    <s v="Grade 9"/>
    <s v="Yes"/>
    <n v="85000"/>
    <n v="10000"/>
    <n v="15000"/>
    <n v="10000"/>
    <n v="5000"/>
    <n v="125000"/>
    <n v="1500000"/>
    <n v="978502"/>
    <n v="521498"/>
  </r>
  <r>
    <n v="1250"/>
    <s v="Rizwan Haider"/>
    <x v="1"/>
    <s v="Grade 9"/>
    <s v="Yes"/>
    <n v="85000"/>
    <n v="10000"/>
    <n v="15000"/>
    <n v="10000"/>
    <n v="5000"/>
    <n v="125000"/>
    <n v="1500000"/>
    <n v="802602"/>
    <n v="697398"/>
  </r>
  <r>
    <n v="1251"/>
    <s v="Lily Ahmed"/>
    <x v="0"/>
    <s v="Grade 9"/>
    <s v="No"/>
    <n v="85000"/>
    <n v="0"/>
    <n v="15000"/>
    <n v="10000"/>
    <n v="5000"/>
    <n v="115000"/>
    <n v="1380000"/>
    <n v="664304"/>
    <n v="715696"/>
  </r>
  <r>
    <n v="1252"/>
    <s v="Shahid Afridi"/>
    <x v="1"/>
    <s v="Grade 9"/>
    <s v="No"/>
    <n v="85000"/>
    <n v="0"/>
    <n v="15000"/>
    <n v="10000"/>
    <n v="5000"/>
    <n v="115000"/>
    <n v="1380000"/>
    <n v="798227"/>
    <n v="581773"/>
  </r>
  <r>
    <n v="1253"/>
    <s v="Rayyan Farooq"/>
    <x v="1"/>
    <s v="Grade 10"/>
    <s v="Yes"/>
    <n v="90000"/>
    <n v="10000"/>
    <n v="15000"/>
    <n v="10000"/>
    <n v="5000"/>
    <n v="130000"/>
    <n v="1560000"/>
    <n v="528548"/>
    <n v="1031452"/>
  </r>
  <r>
    <n v="1254"/>
    <s v="Haris Rauf"/>
    <x v="1"/>
    <s v="Grade 10"/>
    <s v="No"/>
    <n v="90000"/>
    <n v="0"/>
    <n v="15000"/>
    <n v="10000"/>
    <n v="5000"/>
    <n v="120000"/>
    <n v="1440000"/>
    <n v="159558"/>
    <n v="1280442"/>
  </r>
  <r>
    <n v="1255"/>
    <s v="Maham Noor"/>
    <x v="0"/>
    <s v="Grade 10"/>
    <s v="No"/>
    <n v="90000"/>
    <n v="0"/>
    <n v="15000"/>
    <n v="10000"/>
    <n v="5000"/>
    <n v="120000"/>
    <n v="1440000"/>
    <n v="1042877"/>
    <n v="397123"/>
  </r>
  <r>
    <n v="1256"/>
    <s v="Kamyar"/>
    <x v="1"/>
    <s v="Grade 10"/>
    <s v="Yes"/>
    <n v="90000"/>
    <n v="10000"/>
    <n v="15000"/>
    <n v="10000"/>
    <n v="5000"/>
    <n v="130000"/>
    <n v="1560000"/>
    <n v="1108742"/>
    <n v="451258"/>
  </r>
  <r>
    <n v="1257"/>
    <s v="Alex Hassan"/>
    <x v="1"/>
    <s v="Grade 10"/>
    <s v="No"/>
    <n v="90000"/>
    <n v="0"/>
    <n v="15000"/>
    <n v="10000"/>
    <n v="5000"/>
    <n v="120000"/>
    <n v="1440000"/>
    <n v="1038955"/>
    <n v="401045"/>
  </r>
  <r>
    <n v="1258"/>
    <s v="Ayra"/>
    <x v="0"/>
    <s v="Grade 10"/>
    <s v="Yes"/>
    <n v="90000"/>
    <n v="10000"/>
    <n v="15000"/>
    <n v="10000"/>
    <n v="5000"/>
    <n v="130000"/>
    <n v="1560000"/>
    <n v="379843"/>
    <n v="1180157"/>
  </r>
  <r>
    <n v="1259"/>
    <s v="Hana Ali"/>
    <x v="0"/>
    <s v="Grade 10"/>
    <s v="No"/>
    <n v="90000"/>
    <n v="0"/>
    <n v="15000"/>
    <n v="10000"/>
    <n v="5000"/>
    <n v="120000"/>
    <n v="1440000"/>
    <n v="1198927"/>
    <n v="241073"/>
  </r>
  <r>
    <n v="1260"/>
    <s v="Furqn"/>
    <x v="1"/>
    <s v="Grade 10"/>
    <s v="No"/>
    <n v="90000"/>
    <n v="0"/>
    <n v="15000"/>
    <n v="10000"/>
    <n v="5000"/>
    <n v="120000"/>
    <n v="1440000"/>
    <n v="617477"/>
    <n v="822523"/>
  </r>
  <r>
    <n v="1261"/>
    <s v="Ethan Mehmood"/>
    <x v="1"/>
    <s v="Grade 10"/>
    <s v="No"/>
    <n v="90000"/>
    <n v="0"/>
    <n v="15000"/>
    <n v="10000"/>
    <n v="5000"/>
    <n v="120000"/>
    <n v="1440000"/>
    <n v="196332"/>
    <n v="1243668"/>
  </r>
  <r>
    <n v="1262"/>
    <s v="Farukh"/>
    <x v="1"/>
    <s v="Grade 10"/>
    <s v="Yes"/>
    <n v="90000"/>
    <n v="10000"/>
    <n v="15000"/>
    <n v="10000"/>
    <n v="5000"/>
    <n v="130000"/>
    <n v="1560000"/>
    <n v="256482"/>
    <n v="1303518"/>
  </r>
  <r>
    <n v="1263"/>
    <s v="Zara Collins"/>
    <x v="0"/>
    <s v="Grade 10"/>
    <s v="Yes"/>
    <n v="90000"/>
    <n v="10000"/>
    <n v="15000"/>
    <n v="10000"/>
    <n v="5000"/>
    <n v="130000"/>
    <n v="1560000"/>
    <n v="1067095"/>
    <n v="492905"/>
  </r>
  <r>
    <n v="1264"/>
    <s v="Hamza"/>
    <x v="1"/>
    <s v="Grade 10"/>
    <s v="Yes"/>
    <n v="90000"/>
    <n v="10000"/>
    <n v="15000"/>
    <n v="10000"/>
    <n v="5000"/>
    <n v="130000"/>
    <n v="1560000"/>
    <n v="476949"/>
    <n v="1083051"/>
  </r>
  <r>
    <n v="1265"/>
    <s v="Saif Ahmed"/>
    <x v="1"/>
    <s v="Grade 10"/>
    <s v="Yes"/>
    <n v="90000"/>
    <n v="10000"/>
    <n v="15000"/>
    <n v="10000"/>
    <n v="5000"/>
    <n v="130000"/>
    <n v="1560000"/>
    <n v="295667"/>
    <n v="1264333"/>
  </r>
  <r>
    <n v="1266"/>
    <s v="Haroon Rasheed"/>
    <x v="1"/>
    <s v="Grade 10"/>
    <s v="No"/>
    <n v="90000"/>
    <n v="0"/>
    <n v="15000"/>
    <n v="10000"/>
    <n v="5000"/>
    <n v="120000"/>
    <n v="1440000"/>
    <n v="153147"/>
    <n v="1286853"/>
  </r>
  <r>
    <n v="1267"/>
    <s v="Noor Javed"/>
    <x v="0"/>
    <s v="Grade 10"/>
    <s v="No"/>
    <n v="90000"/>
    <n v="0"/>
    <n v="15000"/>
    <n v="10000"/>
    <n v="5000"/>
    <n v="120000"/>
    <n v="1440000"/>
    <n v="457851"/>
    <n v="982149"/>
  </r>
  <r>
    <n v="1268"/>
    <s v="Faiza Ahmad "/>
    <x v="0"/>
    <s v="Grade 10"/>
    <s v="No"/>
    <n v="90000"/>
    <n v="0"/>
    <n v="15000"/>
    <n v="10000"/>
    <n v="5000"/>
    <n v="120000"/>
    <n v="1440000"/>
    <n v="789252"/>
    <n v="650748"/>
  </r>
  <r>
    <n v="1269"/>
    <s v="Owen Rashid"/>
    <x v="0"/>
    <s v="Grade 10"/>
    <s v="No"/>
    <n v="90000"/>
    <n v="0"/>
    <n v="15000"/>
    <n v="10000"/>
    <n v="5000"/>
    <n v="120000"/>
    <n v="1440000"/>
    <n v="364902"/>
    <n v="1075098"/>
  </r>
  <r>
    <n v="1270"/>
    <s v="Mehwish Khan"/>
    <x v="0"/>
    <s v="Grade 10"/>
    <s v="Yes"/>
    <n v="90000"/>
    <n v="10000"/>
    <n v="15000"/>
    <n v="10000"/>
    <n v="5000"/>
    <n v="130000"/>
    <n v="1560000"/>
    <n v="427676"/>
    <n v="1132324"/>
  </r>
  <r>
    <n v="1271"/>
    <s v="Sara Ali "/>
    <x v="0"/>
    <s v="Grade 5"/>
    <s v="No"/>
    <n v="65000"/>
    <n v="0"/>
    <n v="15000"/>
    <n v="10000"/>
    <n v="5000"/>
    <n v="95000"/>
    <n v="1140000"/>
    <n v="461889"/>
    <n v="678111"/>
  </r>
  <r>
    <n v="1272"/>
    <s v="Maham "/>
    <x v="0"/>
    <s v="Grade 6"/>
    <s v="No"/>
    <n v="70000"/>
    <n v="0"/>
    <n v="15000"/>
    <n v="10000"/>
    <n v="5000"/>
    <n v="100000"/>
    <n v="1200000"/>
    <n v="882808"/>
    <n v="317192"/>
  </r>
  <r>
    <n v="1273"/>
    <s v="Hadia"/>
    <x v="0"/>
    <s v="Grade 9"/>
    <s v="Yes"/>
    <n v="85000"/>
    <n v="10000"/>
    <n v="15000"/>
    <n v="10000"/>
    <n v="5000"/>
    <n v="125000"/>
    <n v="1500000"/>
    <n v="953312"/>
    <n v="546688"/>
  </r>
  <r>
    <n v="1274"/>
    <s v="Hiba "/>
    <x v="0"/>
    <s v="Grade 10"/>
    <s v="No"/>
    <n v="90000"/>
    <n v="0"/>
    <n v="15000"/>
    <n v="10000"/>
    <n v="5000"/>
    <n v="120000"/>
    <n v="1440000"/>
    <n v="351813"/>
    <n v="1088187"/>
  </r>
  <r>
    <n v="1275"/>
    <s v="Ramla"/>
    <x v="0"/>
    <s v="Grade 1"/>
    <s v="No"/>
    <n v="45000"/>
    <n v="0"/>
    <n v="15000"/>
    <n v="10000"/>
    <n v="5000"/>
    <n v="75000"/>
    <n v="900000"/>
    <n v="178864"/>
    <n v="721136"/>
  </r>
  <r>
    <n v="1276"/>
    <s v="Aneeqa"/>
    <x v="0"/>
    <s v="Grade 8"/>
    <s v="Yes"/>
    <n v="80000"/>
    <n v="10000"/>
    <n v="15000"/>
    <n v="10000"/>
    <n v="5000"/>
    <n v="120000"/>
    <n v="1440000"/>
    <n v="612803"/>
    <n v="827197"/>
  </r>
  <r>
    <n v="1277"/>
    <s v="Smith"/>
    <x v="1"/>
    <s v="Grade 4"/>
    <s v="Yes"/>
    <n v="60000"/>
    <n v="10000"/>
    <n v="15000"/>
    <n v="10000"/>
    <n v="5000"/>
    <n v="100000"/>
    <n v="1200000"/>
    <n v="454293"/>
    <n v="745707"/>
  </r>
  <r>
    <n v="1278"/>
    <s v="Ronaldo"/>
    <x v="1"/>
    <s v="A' Level"/>
    <s v="No"/>
    <n v="120000"/>
    <n v="0"/>
    <n v="20000"/>
    <n v="10000"/>
    <n v="10000"/>
    <n v="160000"/>
    <n v="1920000"/>
    <n v="388687"/>
    <n v="1531313"/>
  </r>
  <r>
    <n v="1279"/>
    <s v="Messi"/>
    <x v="1"/>
    <s v="O' Level"/>
    <s v="Yes"/>
    <n v="150000"/>
    <n v="10000"/>
    <n v="25000"/>
    <n v="10000"/>
    <n v="15000"/>
    <n v="210000"/>
    <n v="2520000"/>
    <n v="1033836"/>
    <n v="1486164"/>
  </r>
  <r>
    <n v="1280"/>
    <s v="Naseem"/>
    <x v="1"/>
    <s v="Grade 2"/>
    <s v="No"/>
    <n v="50000"/>
    <n v="0"/>
    <n v="15000"/>
    <n v="10000"/>
    <n v="5000"/>
    <n v="80000"/>
    <n v="960000"/>
    <n v="554453"/>
    <n v="405547"/>
  </r>
  <r>
    <n v="1290"/>
    <s v="Naseema"/>
    <x v="0"/>
    <s v="Playgroup"/>
    <s v="Yes"/>
    <n v="30000"/>
    <n v="10000"/>
    <n v="15000"/>
    <n v="10000"/>
    <n v="5000"/>
    <n v="70000"/>
    <n v="840000"/>
    <n v="113233"/>
    <n v="7267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n v="1001"/>
    <s v="Fatima Tariq"/>
    <s v="Female"/>
    <s v="O-Levels"/>
    <x v="0"/>
    <n v="150000"/>
    <n v="0"/>
    <n v="25000"/>
    <n v="10000"/>
    <n v="15000"/>
    <n v="200000"/>
    <n v="2400000"/>
    <n v="1000000"/>
    <n v="1400000"/>
  </r>
  <r>
    <n v="1002"/>
    <s v="Ushna Zaka"/>
    <s v="Female"/>
    <s v="O-Levels"/>
    <x v="1"/>
    <n v="150000"/>
    <n v="10000"/>
    <n v="25000"/>
    <n v="10000"/>
    <n v="15000"/>
    <n v="210000"/>
    <n v="2520000"/>
    <n v="2000000"/>
    <n v="520000"/>
  </r>
  <r>
    <n v="1003"/>
    <s v="Noor Fatima"/>
    <s v="Female"/>
    <s v="O-Levels"/>
    <x v="0"/>
    <n v="150000"/>
    <n v="0"/>
    <n v="25000"/>
    <n v="10000"/>
    <n v="15000"/>
    <n v="200000"/>
    <n v="2400000"/>
    <n v="1500000"/>
    <n v="900000"/>
  </r>
  <r>
    <n v="1004"/>
    <s v="Nadeen Asif"/>
    <s v="Female"/>
    <s v="O-Levels"/>
    <x v="1"/>
    <n v="150000"/>
    <n v="10000"/>
    <n v="25000"/>
    <n v="10000"/>
    <n v="15000"/>
    <n v="210000"/>
    <n v="2520000"/>
    <n v="500000"/>
    <n v="2020000"/>
  </r>
  <r>
    <n v="1005"/>
    <s v="Khola Noor"/>
    <s v="Female"/>
    <s v="O-Levels"/>
    <x v="1"/>
    <n v="150000"/>
    <n v="10000"/>
    <n v="25000"/>
    <n v="10000"/>
    <n v="15000"/>
    <n v="210000"/>
    <n v="2520000"/>
    <n v="100000"/>
    <n v="2420000"/>
  </r>
  <r>
    <n v="1006"/>
    <s v="Maryam Usman"/>
    <s v="Female"/>
    <s v="O-Levels"/>
    <x v="0"/>
    <n v="150000"/>
    <n v="0"/>
    <n v="25000"/>
    <n v="10000"/>
    <n v="15000"/>
    <n v="200000"/>
    <n v="2400000"/>
    <n v="1950000"/>
    <n v="450000"/>
  </r>
  <r>
    <n v="1007"/>
    <s v="Imanish Arif"/>
    <s v="Female"/>
    <s v="O-Levels"/>
    <x v="0"/>
    <n v="150000"/>
    <n v="0"/>
    <n v="25000"/>
    <n v="10000"/>
    <n v="15000"/>
    <n v="200000"/>
    <n v="2400000"/>
    <n v="600000"/>
    <n v="1800000"/>
  </r>
  <r>
    <n v="1008"/>
    <s v="Fatima Nadeem"/>
    <s v="Female"/>
    <s v="O-Levels"/>
    <x v="1"/>
    <n v="150000"/>
    <n v="10000"/>
    <n v="25000"/>
    <n v="10000"/>
    <n v="15000"/>
    <n v="210000"/>
    <n v="2520000"/>
    <n v="2000000"/>
    <n v="520000"/>
  </r>
  <r>
    <n v="1009"/>
    <s v="Hateem "/>
    <s v="Female"/>
    <s v="O-Levels"/>
    <x v="0"/>
    <n v="150000"/>
    <n v="0"/>
    <n v="25000"/>
    <n v="10000"/>
    <n v="15000"/>
    <n v="200000"/>
    <n v="2400000"/>
    <n v="150000"/>
    <n v="2250000"/>
  </r>
  <r>
    <n v="1010"/>
    <s v="Harmain Malik"/>
    <s v="Female"/>
    <s v="O-Levels"/>
    <x v="1"/>
    <n v="150000"/>
    <n v="10000"/>
    <n v="25000"/>
    <n v="10000"/>
    <n v="15000"/>
    <n v="210000"/>
    <n v="2520000"/>
    <n v="1300000"/>
    <n v="1220000"/>
  </r>
  <r>
    <n v="1011"/>
    <s v="Zunaira Jameel"/>
    <s v="Female"/>
    <s v="O-Levels"/>
    <x v="0"/>
    <n v="150000"/>
    <n v="0"/>
    <n v="25000"/>
    <n v="10000"/>
    <n v="15000"/>
    <n v="200000"/>
    <n v="2400000"/>
    <n v="200000"/>
    <n v="2200000"/>
  </r>
  <r>
    <n v="1012"/>
    <s v="Zukhruf Sarfraz"/>
    <s v="Female"/>
    <s v="O-Levels"/>
    <x v="0"/>
    <n v="150000"/>
    <n v="0"/>
    <n v="25000"/>
    <n v="10000"/>
    <n v="15000"/>
    <n v="200000"/>
    <n v="2400000"/>
    <n v="1500000"/>
    <n v="900000"/>
  </r>
  <r>
    <n v="1013"/>
    <s v="Areeba Habib"/>
    <s v="Female"/>
    <s v="O-Levels"/>
    <x v="0"/>
    <n v="150000"/>
    <n v="0"/>
    <n v="25000"/>
    <n v="10000"/>
    <n v="15000"/>
    <n v="200000"/>
    <n v="2400000"/>
    <n v="1134928"/>
    <n v="1265072"/>
  </r>
  <r>
    <n v="1014"/>
    <s v="Muntaha Rizwan"/>
    <s v="Female"/>
    <s v="O-Levels"/>
    <x v="1"/>
    <n v="150000"/>
    <n v="10000"/>
    <n v="25000"/>
    <n v="10000"/>
    <n v="15000"/>
    <n v="210000"/>
    <n v="2520000"/>
    <n v="288349"/>
    <n v="2231651"/>
  </r>
  <r>
    <n v="1015"/>
    <s v="Daniyal Majid"/>
    <s v="Male"/>
    <s v="O-Levels"/>
    <x v="1"/>
    <n v="150000"/>
    <n v="10000"/>
    <n v="25000"/>
    <n v="10000"/>
    <n v="15000"/>
    <n v="210000"/>
    <n v="2520000"/>
    <n v="1285867"/>
    <n v="1234133"/>
  </r>
  <r>
    <n v="1016"/>
    <s v="Ali Ansari"/>
    <s v="Male"/>
    <s v="O-Levels"/>
    <x v="1"/>
    <n v="150000"/>
    <n v="10000"/>
    <n v="25000"/>
    <n v="10000"/>
    <n v="15000"/>
    <n v="210000"/>
    <n v="2520000"/>
    <n v="1147894"/>
    <n v="1372106"/>
  </r>
  <r>
    <n v="1017"/>
    <s v="Feroz Khan"/>
    <s v="Male"/>
    <s v="O-Levels"/>
    <x v="1"/>
    <n v="150000"/>
    <n v="10000"/>
    <n v="25000"/>
    <n v="10000"/>
    <n v="15000"/>
    <n v="210000"/>
    <n v="2520000"/>
    <n v="531111"/>
    <n v="1988889"/>
  </r>
  <r>
    <n v="1018"/>
    <s v="Shaheera Eman"/>
    <s v="Female"/>
    <s v="O-Levels"/>
    <x v="0"/>
    <n v="150000"/>
    <n v="0"/>
    <n v="25000"/>
    <n v="10000"/>
    <n v="15000"/>
    <n v="200000"/>
    <n v="2400000"/>
    <n v="245074"/>
    <n v="2154926"/>
  </r>
  <r>
    <n v="1019"/>
    <s v="Danish Taimoor"/>
    <s v="Male"/>
    <s v="A-Levels"/>
    <x v="0"/>
    <n v="120000"/>
    <n v="0"/>
    <n v="20000"/>
    <n v="10000"/>
    <n v="10000"/>
    <n v="160000"/>
    <n v="1920000"/>
    <n v="293940"/>
    <n v="1626060"/>
  </r>
  <r>
    <n v="1020"/>
    <s v="Tahir"/>
    <s v="Male"/>
    <s v="A-Levels"/>
    <x v="0"/>
    <n v="120000"/>
    <n v="0"/>
    <n v="20000"/>
    <n v="10000"/>
    <n v="10000"/>
    <n v="160000"/>
    <n v="1920000"/>
    <n v="1860216"/>
    <n v="59784"/>
  </r>
  <r>
    <n v="1021"/>
    <s v="Hamza Butt"/>
    <s v="Male"/>
    <s v="A-Levels"/>
    <x v="1"/>
    <n v="120000"/>
    <n v="10000"/>
    <n v="20000"/>
    <n v="10000"/>
    <n v="10000"/>
    <n v="170000"/>
    <n v="2040000"/>
    <n v="1707018"/>
    <n v="332982"/>
  </r>
  <r>
    <n v="1022"/>
    <s v="Omar"/>
    <s v="Male"/>
    <s v="A-Levels"/>
    <x v="1"/>
    <n v="120000"/>
    <n v="10000"/>
    <n v="20000"/>
    <n v="10000"/>
    <n v="10000"/>
    <n v="170000"/>
    <n v="2040000"/>
    <n v="117289"/>
    <n v="1922711"/>
  </r>
  <r>
    <n v="1023"/>
    <s v="Taha Ahmad"/>
    <s v="Male"/>
    <s v="A-Levels"/>
    <x v="0"/>
    <n v="120000"/>
    <n v="0"/>
    <n v="20000"/>
    <n v="10000"/>
    <n v="10000"/>
    <n v="160000"/>
    <n v="1920000"/>
    <n v="490940"/>
    <n v="1429060"/>
  </r>
  <r>
    <n v="1024"/>
    <s v="Arsal Khan"/>
    <s v="Male"/>
    <s v="A-Levels"/>
    <x v="0"/>
    <n v="120000"/>
    <n v="0"/>
    <n v="20000"/>
    <n v="10000"/>
    <n v="10000"/>
    <n v="160000"/>
    <n v="1920000"/>
    <n v="1289601"/>
    <n v="630399"/>
  </r>
  <r>
    <n v="1025"/>
    <s v="Faiz Ahmad"/>
    <s v="Male"/>
    <s v="A-Levels"/>
    <x v="0"/>
    <n v="120000"/>
    <n v="0"/>
    <n v="20000"/>
    <n v="10000"/>
    <n v="10000"/>
    <n v="160000"/>
    <n v="1920000"/>
    <n v="193370"/>
    <n v="1726630"/>
  </r>
  <r>
    <n v="1026"/>
    <s v="Fozan "/>
    <s v="Male"/>
    <s v="A-Levels"/>
    <x v="0"/>
    <n v="120000"/>
    <n v="0"/>
    <n v="20000"/>
    <n v="10000"/>
    <n v="10000"/>
    <n v="160000"/>
    <n v="1920000"/>
    <n v="1677880"/>
    <n v="242120"/>
  </r>
  <r>
    <n v="1027"/>
    <s v="Abbas Hussain"/>
    <s v="Male"/>
    <s v="A-Levels"/>
    <x v="1"/>
    <n v="120000"/>
    <n v="10000"/>
    <n v="20000"/>
    <n v="10000"/>
    <n v="10000"/>
    <n v="170000"/>
    <n v="2040000"/>
    <n v="422410"/>
    <n v="1617590"/>
  </r>
  <r>
    <n v="1028"/>
    <s v="Mirza Hassan"/>
    <s v="Male"/>
    <s v="A-Levels"/>
    <x v="0"/>
    <n v="120000"/>
    <n v="0"/>
    <n v="20000"/>
    <n v="10000"/>
    <n v="10000"/>
    <n v="160000"/>
    <n v="1920000"/>
    <n v="268404"/>
    <n v="1651596"/>
  </r>
  <r>
    <n v="1029"/>
    <s v="Ayaan Mirza"/>
    <s v="Male"/>
    <s v="A-Levels"/>
    <x v="1"/>
    <n v="120000"/>
    <n v="10000"/>
    <n v="20000"/>
    <n v="10000"/>
    <n v="10000"/>
    <n v="170000"/>
    <n v="2040000"/>
    <n v="560558"/>
    <n v="1479442"/>
  </r>
  <r>
    <n v="1030"/>
    <s v="Farooq Afzal"/>
    <s v="Male"/>
    <s v="A-Levels"/>
    <x v="1"/>
    <n v="120000"/>
    <n v="10000"/>
    <n v="20000"/>
    <n v="10000"/>
    <n v="10000"/>
    <n v="170000"/>
    <n v="2040000"/>
    <n v="323204"/>
    <n v="1716796"/>
  </r>
  <r>
    <n v="1031"/>
    <s v="Basil Maaz"/>
    <s v="Male"/>
    <s v="A-Levels"/>
    <x v="0"/>
    <n v="120000"/>
    <n v="0"/>
    <n v="20000"/>
    <n v="10000"/>
    <n v="10000"/>
    <n v="160000"/>
    <n v="1920000"/>
    <n v="521474"/>
    <n v="1398526"/>
  </r>
  <r>
    <n v="1032"/>
    <s v="Muhammad Abraj "/>
    <s v="Male"/>
    <s v="A-Levels"/>
    <x v="0"/>
    <n v="120000"/>
    <n v="0"/>
    <n v="20000"/>
    <n v="10000"/>
    <n v="10000"/>
    <n v="160000"/>
    <n v="1920000"/>
    <n v="167516"/>
    <n v="1752484"/>
  </r>
  <r>
    <n v="1033"/>
    <s v="Jannat"/>
    <s v="Female"/>
    <s v="A-Levels"/>
    <x v="0"/>
    <n v="120000"/>
    <n v="0"/>
    <n v="20000"/>
    <n v="10000"/>
    <n v="10000"/>
    <n v="160000"/>
    <n v="1920000"/>
    <n v="1386806"/>
    <n v="533194"/>
  </r>
  <r>
    <n v="1034"/>
    <s v="Ayesha Hussain"/>
    <s v="Female"/>
    <s v="A-Levels"/>
    <x v="0"/>
    <n v="120000"/>
    <n v="0"/>
    <n v="20000"/>
    <n v="10000"/>
    <n v="10000"/>
    <n v="160000"/>
    <n v="1920000"/>
    <n v="1148455"/>
    <n v="771545"/>
  </r>
  <r>
    <n v="1035"/>
    <s v="Hafsa Imran"/>
    <s v="Female"/>
    <s v="A-Levels"/>
    <x v="0"/>
    <n v="120000"/>
    <n v="0"/>
    <n v="20000"/>
    <n v="10000"/>
    <n v="10000"/>
    <n v="160000"/>
    <n v="1920000"/>
    <n v="823068"/>
    <n v="1096932"/>
  </r>
  <r>
    <n v="1036"/>
    <s v="Momina Shahbaz"/>
    <s v="Female"/>
    <s v="A-Levels"/>
    <x v="0"/>
    <n v="120000"/>
    <n v="0"/>
    <n v="20000"/>
    <n v="10000"/>
    <n v="10000"/>
    <n v="160000"/>
    <n v="1920000"/>
    <n v="440641"/>
    <n v="1479359"/>
  </r>
  <r>
    <n v="1037"/>
    <s v="Faluq Muaaz"/>
    <s v="Female"/>
    <s v="Playgroup"/>
    <x v="0"/>
    <n v="30000"/>
    <n v="0"/>
    <n v="15000"/>
    <n v="10000"/>
    <n v="5000"/>
    <n v="60000"/>
    <n v="720000"/>
    <n v="720000"/>
    <n v="0"/>
  </r>
  <r>
    <n v="1038"/>
    <s v="Zahira Khanam"/>
    <s v="Female"/>
    <s v="Playgroup"/>
    <x v="1"/>
    <n v="30000"/>
    <n v="10000"/>
    <n v="15000"/>
    <n v="10000"/>
    <n v="5000"/>
    <n v="70000"/>
    <n v="840000"/>
    <n v="330360"/>
    <n v="509640"/>
  </r>
  <r>
    <n v="1039"/>
    <s v="Ubaidallah Tahir"/>
    <s v="Male"/>
    <s v="Playgroup"/>
    <x v="0"/>
    <n v="30000"/>
    <n v="0"/>
    <n v="15000"/>
    <n v="10000"/>
    <n v="5000"/>
    <n v="60000"/>
    <n v="720000"/>
    <n v="182503"/>
    <n v="537497"/>
  </r>
  <r>
    <n v="1040"/>
    <s v="Saeed Ghani"/>
    <s v="Male"/>
    <s v="Playgroup"/>
    <x v="0"/>
    <n v="30000"/>
    <n v="0"/>
    <n v="15000"/>
    <n v="10000"/>
    <n v="5000"/>
    <n v="60000"/>
    <n v="720000"/>
    <n v="125664"/>
    <n v="594336"/>
  </r>
  <r>
    <n v="1041"/>
    <s v="Fatima Faisal"/>
    <s v="Female"/>
    <s v="Playgroup"/>
    <x v="1"/>
    <n v="30000"/>
    <n v="10000"/>
    <n v="15000"/>
    <n v="10000"/>
    <n v="5000"/>
    <n v="70000"/>
    <n v="840000"/>
    <n v="178758"/>
    <n v="661242"/>
  </r>
  <r>
    <n v="1042"/>
    <s v="Hira Faisal"/>
    <s v="Female"/>
    <s v="Playgroup"/>
    <x v="1"/>
    <n v="30000"/>
    <n v="10000"/>
    <n v="15000"/>
    <n v="10000"/>
    <n v="5000"/>
    <n v="70000"/>
    <n v="840000"/>
    <n v="156031"/>
    <n v="683969"/>
  </r>
  <r>
    <n v="1043"/>
    <s v="Saad Maqsood"/>
    <s v="Male"/>
    <s v="Playgroup"/>
    <x v="1"/>
    <n v="30000"/>
    <n v="10000"/>
    <n v="15000"/>
    <n v="10000"/>
    <n v="5000"/>
    <n v="70000"/>
    <n v="840000"/>
    <n v="109354"/>
    <n v="730646"/>
  </r>
  <r>
    <n v="1044"/>
    <s v="Bilal Khokhar"/>
    <s v="Male"/>
    <s v="Playgroup"/>
    <x v="0"/>
    <n v="30000"/>
    <n v="0"/>
    <n v="15000"/>
    <n v="10000"/>
    <n v="5000"/>
    <n v="60000"/>
    <n v="720000"/>
    <n v="145003"/>
    <n v="574997"/>
  </r>
  <r>
    <n v="1045"/>
    <s v="Kashaf Shoaib"/>
    <s v="Female"/>
    <s v="Playgroup"/>
    <x v="0"/>
    <n v="30000"/>
    <n v="0"/>
    <n v="15000"/>
    <n v="10000"/>
    <n v="5000"/>
    <n v="60000"/>
    <n v="720000"/>
    <n v="111806"/>
    <n v="608194"/>
  </r>
  <r>
    <n v="1046"/>
    <s v="Sania Hassan"/>
    <s v="Female"/>
    <s v="Playgroup"/>
    <x v="1"/>
    <n v="30000"/>
    <n v="10000"/>
    <n v="15000"/>
    <n v="10000"/>
    <n v="5000"/>
    <n v="70000"/>
    <n v="840000"/>
    <n v="623804"/>
    <n v="216196"/>
  </r>
  <r>
    <n v="1047"/>
    <s v="Bushra"/>
    <s v="Female"/>
    <s v="Playgroup"/>
    <x v="1"/>
    <n v="30000"/>
    <n v="10000"/>
    <n v="15000"/>
    <n v="10000"/>
    <n v="5000"/>
    <n v="70000"/>
    <n v="840000"/>
    <n v="207068"/>
    <n v="632932"/>
  </r>
  <r>
    <n v="1048"/>
    <s v="Madiha "/>
    <s v="Female"/>
    <s v="Playgroup"/>
    <x v="1"/>
    <n v="30000"/>
    <n v="10000"/>
    <n v="15000"/>
    <n v="10000"/>
    <n v="5000"/>
    <n v="70000"/>
    <n v="840000"/>
    <n v="8000"/>
    <n v="832000"/>
  </r>
  <r>
    <n v="1049"/>
    <s v="Nadia"/>
    <s v="Female"/>
    <s v="Playgroup"/>
    <x v="1"/>
    <n v="30000"/>
    <n v="10000"/>
    <n v="15000"/>
    <n v="10000"/>
    <n v="5000"/>
    <n v="70000"/>
    <n v="840000"/>
    <n v="192358"/>
    <n v="647642"/>
  </r>
  <r>
    <n v="1050"/>
    <s v="Muhammad Afzal"/>
    <s v="Male"/>
    <s v="Playgroup"/>
    <x v="0"/>
    <n v="30000"/>
    <n v="0"/>
    <n v="15000"/>
    <n v="10000"/>
    <n v="5000"/>
    <n v="60000"/>
    <n v="720000"/>
    <n v="115328"/>
    <n v="604672"/>
  </r>
  <r>
    <n v="1051"/>
    <s v="Saba"/>
    <s v="Female"/>
    <s v="Playgroup"/>
    <x v="0"/>
    <n v="30000"/>
    <n v="0"/>
    <n v="15000"/>
    <n v="10000"/>
    <n v="5000"/>
    <n v="60000"/>
    <n v="720000"/>
    <n v="720000"/>
    <n v="0"/>
  </r>
  <r>
    <n v="1052"/>
    <s v="Sara"/>
    <s v="Female"/>
    <s v="Playgroup"/>
    <x v="1"/>
    <n v="30000"/>
    <n v="10000"/>
    <n v="15000"/>
    <n v="10000"/>
    <n v="5000"/>
    <n v="70000"/>
    <n v="840000"/>
    <n v="84000"/>
    <n v="756000"/>
  </r>
  <r>
    <n v="1053"/>
    <s v="Hamna"/>
    <s v="Female"/>
    <s v="Playgroup"/>
    <x v="0"/>
    <n v="30000"/>
    <n v="0"/>
    <n v="15000"/>
    <n v="10000"/>
    <n v="5000"/>
    <n v="60000"/>
    <n v="720000"/>
    <n v="180761"/>
    <n v="539239"/>
  </r>
  <r>
    <n v="1054"/>
    <s v="Huma"/>
    <s v="Female"/>
    <s v="Playgroup"/>
    <x v="0"/>
    <n v="30000"/>
    <n v="0"/>
    <n v="15000"/>
    <n v="10000"/>
    <n v="5000"/>
    <n v="60000"/>
    <n v="720000"/>
    <n v="195559"/>
    <n v="524441"/>
  </r>
  <r>
    <n v="1055"/>
    <s v="Ahmad"/>
    <s v="Male"/>
    <s v="Nursery"/>
    <x v="1"/>
    <n v="35000"/>
    <n v="10000"/>
    <n v="15000"/>
    <n v="10000"/>
    <n v="5000"/>
    <n v="75000"/>
    <n v="900000"/>
    <n v="800000"/>
    <n v="100000"/>
  </r>
  <r>
    <n v="1056"/>
    <s v="Moosa"/>
    <s v="Male"/>
    <s v="Nursery"/>
    <x v="1"/>
    <n v="35000"/>
    <n v="10000"/>
    <n v="15000"/>
    <n v="10000"/>
    <n v="5000"/>
    <n v="75000"/>
    <n v="900000"/>
    <n v="751205"/>
    <n v="148795"/>
  </r>
  <r>
    <n v="1057"/>
    <s v="Faizan "/>
    <s v="Male"/>
    <s v="Nursery"/>
    <x v="0"/>
    <n v="35000"/>
    <n v="0"/>
    <n v="15000"/>
    <n v="10000"/>
    <n v="5000"/>
    <n v="65000"/>
    <n v="780000"/>
    <n v="599894"/>
    <n v="180106"/>
  </r>
  <r>
    <n v="1058"/>
    <s v="Usman Ansari"/>
    <s v="Male"/>
    <s v="Nursery"/>
    <x v="1"/>
    <n v="35000"/>
    <n v="10000"/>
    <n v="15000"/>
    <n v="10000"/>
    <n v="5000"/>
    <n v="75000"/>
    <n v="900000"/>
    <n v="900000"/>
    <n v="0"/>
  </r>
  <r>
    <n v="1059"/>
    <s v="Shabana"/>
    <s v="Female"/>
    <s v="Nursery"/>
    <x v="0"/>
    <n v="35000"/>
    <n v="0"/>
    <n v="15000"/>
    <n v="10000"/>
    <n v="5000"/>
    <n v="65000"/>
    <n v="780000"/>
    <n v="211671"/>
    <n v="568329"/>
  </r>
  <r>
    <n v="1060"/>
    <s v="Sabeen Farooq"/>
    <s v="Female"/>
    <s v="Nursery"/>
    <x v="1"/>
    <n v="35000"/>
    <n v="10000"/>
    <n v="15000"/>
    <n v="10000"/>
    <n v="5000"/>
    <n v="75000"/>
    <n v="900000"/>
    <n v="845231"/>
    <n v="54769"/>
  </r>
  <r>
    <n v="1061"/>
    <s v="Ayesha Abass"/>
    <s v="Female"/>
    <s v="Nursery"/>
    <x v="1"/>
    <n v="35000"/>
    <n v="10000"/>
    <n v="15000"/>
    <n v="10000"/>
    <n v="5000"/>
    <n v="75000"/>
    <n v="900000"/>
    <n v="501177"/>
    <n v="398823"/>
  </r>
  <r>
    <n v="1062"/>
    <s v="Raheela Fatima"/>
    <s v="Female"/>
    <s v="Nursery"/>
    <x v="1"/>
    <n v="35000"/>
    <n v="10000"/>
    <n v="15000"/>
    <n v="10000"/>
    <n v="5000"/>
    <n v="75000"/>
    <n v="900000"/>
    <n v="900000"/>
    <n v="0"/>
  </r>
  <r>
    <n v="1063"/>
    <s v="Areeba Tariq"/>
    <s v="Female"/>
    <s v="Nursery"/>
    <x v="0"/>
    <n v="35000"/>
    <n v="0"/>
    <n v="15000"/>
    <n v="10000"/>
    <n v="5000"/>
    <n v="65000"/>
    <n v="780000"/>
    <n v="157716"/>
    <n v="622284"/>
  </r>
  <r>
    <n v="1064"/>
    <s v="Tayyaba Abdullah"/>
    <s v="Female"/>
    <s v="Nursery"/>
    <x v="1"/>
    <n v="35000"/>
    <n v="10000"/>
    <n v="15000"/>
    <n v="10000"/>
    <n v="5000"/>
    <n v="75000"/>
    <n v="900000"/>
    <n v="758884"/>
    <n v="141116"/>
  </r>
  <r>
    <n v="1065"/>
    <s v="Amir "/>
    <s v="Male"/>
    <s v="Nursery"/>
    <x v="1"/>
    <n v="35000"/>
    <n v="10000"/>
    <n v="15000"/>
    <n v="10000"/>
    <n v="5000"/>
    <n v="75000"/>
    <n v="900000"/>
    <n v="583048"/>
    <n v="316952"/>
  </r>
  <r>
    <n v="1066"/>
    <s v="Alishba "/>
    <s v="Female"/>
    <s v="Nursery"/>
    <x v="1"/>
    <n v="35000"/>
    <n v="10000"/>
    <n v="15000"/>
    <n v="10000"/>
    <n v="5000"/>
    <n v="75000"/>
    <n v="900000"/>
    <n v="155494"/>
    <n v="744506"/>
  </r>
  <r>
    <n v="1067"/>
    <s v="Faiza"/>
    <s v="Female"/>
    <s v="Nursery"/>
    <x v="0"/>
    <n v="35000"/>
    <n v="0"/>
    <n v="15000"/>
    <n v="10000"/>
    <n v="5000"/>
    <n v="65000"/>
    <n v="780000"/>
    <n v="131911"/>
    <n v="648089"/>
  </r>
  <r>
    <n v="1068"/>
    <s v="Yashfa"/>
    <s v="Female"/>
    <s v="Nursery"/>
    <x v="0"/>
    <n v="35000"/>
    <n v="0"/>
    <n v="15000"/>
    <n v="10000"/>
    <n v="5000"/>
    <n v="65000"/>
    <n v="780000"/>
    <n v="602282"/>
    <n v="177718"/>
  </r>
  <r>
    <n v="1069"/>
    <s v="Zeeshan"/>
    <s v="Male"/>
    <s v="Nursery"/>
    <x v="1"/>
    <n v="35000"/>
    <n v="10000"/>
    <n v="15000"/>
    <n v="10000"/>
    <n v="5000"/>
    <n v="75000"/>
    <n v="900000"/>
    <n v="509956"/>
    <n v="390044"/>
  </r>
  <r>
    <n v="1070"/>
    <s v="Faisal"/>
    <s v="Male"/>
    <s v="Nursery"/>
    <x v="0"/>
    <n v="35000"/>
    <n v="0"/>
    <n v="15000"/>
    <n v="10000"/>
    <n v="5000"/>
    <n v="65000"/>
    <n v="780000"/>
    <n v="620276"/>
    <n v="159724"/>
  </r>
  <r>
    <n v="1071"/>
    <s v="Azra"/>
    <s v="Female"/>
    <s v="Nursery"/>
    <x v="1"/>
    <n v="35000"/>
    <n v="10000"/>
    <n v="15000"/>
    <n v="10000"/>
    <n v="5000"/>
    <n v="75000"/>
    <n v="900000"/>
    <n v="97639"/>
    <n v="802361"/>
  </r>
  <r>
    <n v="1072"/>
    <s v="Iqra"/>
    <s v="Female"/>
    <s v="Nursery"/>
    <x v="0"/>
    <n v="35000"/>
    <n v="0"/>
    <n v="15000"/>
    <n v="10000"/>
    <n v="5000"/>
    <n v="65000"/>
    <n v="780000"/>
    <n v="43383"/>
    <n v="736617"/>
  </r>
  <r>
    <n v="1073"/>
    <s v="Aroob"/>
    <s v="Female"/>
    <s v="Prep"/>
    <x v="0"/>
    <n v="40000"/>
    <n v="0"/>
    <n v="15000"/>
    <n v="10000"/>
    <n v="5000"/>
    <n v="70000"/>
    <n v="840000"/>
    <n v="332061"/>
    <n v="507939"/>
  </r>
  <r>
    <n v="1074"/>
    <s v="Sara Khan"/>
    <s v="Female"/>
    <s v="Prep"/>
    <x v="1"/>
    <n v="40000"/>
    <n v="10000"/>
    <n v="15000"/>
    <n v="10000"/>
    <n v="5000"/>
    <n v="80000"/>
    <n v="960000"/>
    <n v="452904"/>
    <n v="507096"/>
  </r>
  <r>
    <n v="1075"/>
    <s v="Ayeza Khan"/>
    <s v="Female"/>
    <s v="Prep"/>
    <x v="0"/>
    <n v="40000"/>
    <n v="0"/>
    <n v="15000"/>
    <n v="10000"/>
    <n v="5000"/>
    <n v="70000"/>
    <n v="840000"/>
    <n v="363226"/>
    <n v="476774"/>
  </r>
  <r>
    <n v="1076"/>
    <s v="Shgufta "/>
    <s v="Female"/>
    <s v="Prep"/>
    <x v="0"/>
    <n v="40000"/>
    <n v="0"/>
    <n v="15000"/>
    <n v="10000"/>
    <n v="5000"/>
    <n v="70000"/>
    <n v="840000"/>
    <n v="613119"/>
    <n v="226881"/>
  </r>
  <r>
    <n v="1077"/>
    <s v="Awais"/>
    <s v="Male"/>
    <s v="Prep"/>
    <x v="1"/>
    <n v="40000"/>
    <n v="10000"/>
    <n v="15000"/>
    <n v="10000"/>
    <n v="5000"/>
    <n v="80000"/>
    <n v="960000"/>
    <n v="650265"/>
    <n v="309735"/>
  </r>
  <r>
    <n v="1078"/>
    <s v="Fatima Noor"/>
    <s v="Female"/>
    <s v="Prep"/>
    <x v="1"/>
    <n v="40000"/>
    <n v="10000"/>
    <n v="15000"/>
    <n v="10000"/>
    <n v="5000"/>
    <n v="80000"/>
    <n v="960000"/>
    <n v="362106"/>
    <n v="597894"/>
  </r>
  <r>
    <n v="1079"/>
    <s v="Ahmed Raza"/>
    <s v="Male"/>
    <s v="Prep"/>
    <x v="0"/>
    <n v="40000"/>
    <n v="0"/>
    <n v="15000"/>
    <n v="10000"/>
    <n v="5000"/>
    <n v="70000"/>
    <n v="840000"/>
    <n v="450356"/>
    <n v="389644"/>
  </r>
  <r>
    <n v="1080"/>
    <s v="Ayesha Khan"/>
    <s v="Female"/>
    <s v="Prep"/>
    <x v="0"/>
    <n v="40000"/>
    <n v="0"/>
    <n v="15000"/>
    <n v="10000"/>
    <n v="5000"/>
    <n v="70000"/>
    <n v="840000"/>
    <n v="356868"/>
    <n v="483132"/>
  </r>
  <r>
    <n v="1081"/>
    <s v="Hamza Ali"/>
    <s v="Male"/>
    <s v="Prep"/>
    <x v="0"/>
    <n v="40000"/>
    <n v="0"/>
    <n v="15000"/>
    <n v="10000"/>
    <n v="5000"/>
    <n v="70000"/>
    <n v="840000"/>
    <n v="164364"/>
    <n v="675636"/>
  </r>
  <r>
    <n v="1082"/>
    <s v="Maryam Iqbal"/>
    <s v="Female"/>
    <s v="Prep"/>
    <x v="0"/>
    <n v="40000"/>
    <n v="0"/>
    <n v="15000"/>
    <n v="10000"/>
    <n v="5000"/>
    <n v="70000"/>
    <n v="840000"/>
    <n v="243574"/>
    <n v="596426"/>
  </r>
  <r>
    <n v="1083"/>
    <s v="Usman Tariq"/>
    <s v="Male"/>
    <s v="Prep"/>
    <x v="0"/>
    <n v="40000"/>
    <n v="0"/>
    <n v="15000"/>
    <n v="10000"/>
    <n v="5000"/>
    <n v="70000"/>
    <n v="840000"/>
    <n v="442104"/>
    <n v="397896"/>
  </r>
  <r>
    <n v="1084"/>
    <s v="Hira Shah"/>
    <s v="Female"/>
    <s v="Prep"/>
    <x v="1"/>
    <n v="40000"/>
    <n v="10000"/>
    <n v="15000"/>
    <n v="10000"/>
    <n v="5000"/>
    <n v="80000"/>
    <n v="960000"/>
    <n v="286466"/>
    <n v="673534"/>
  </r>
  <r>
    <n v="1085"/>
    <s v="Bilal Hussain"/>
    <s v="Male"/>
    <s v="Prep"/>
    <x v="0"/>
    <n v="40000"/>
    <n v="0"/>
    <n v="15000"/>
    <n v="10000"/>
    <n v="5000"/>
    <n v="70000"/>
    <n v="840000"/>
    <n v="800587"/>
    <n v="39413"/>
  </r>
  <r>
    <n v="1086"/>
    <s v="Zainab Akram"/>
    <s v="Female"/>
    <s v="Prep"/>
    <x v="1"/>
    <n v="40000"/>
    <n v="10000"/>
    <n v="15000"/>
    <n v="10000"/>
    <n v="5000"/>
    <n v="80000"/>
    <n v="960000"/>
    <n v="264257"/>
    <n v="695743"/>
  </r>
  <r>
    <n v="1087"/>
    <s v="Hassan Rauf"/>
    <s v="Female"/>
    <s v="Prep"/>
    <x v="1"/>
    <n v="40000"/>
    <n v="10000"/>
    <n v="15000"/>
    <n v="10000"/>
    <n v="5000"/>
    <n v="80000"/>
    <n v="960000"/>
    <n v="337965"/>
    <n v="622035"/>
  </r>
  <r>
    <n v="1088"/>
    <s v="Sara Malik"/>
    <s v="Female"/>
    <s v="Prep"/>
    <x v="1"/>
    <n v="40000"/>
    <n v="10000"/>
    <n v="15000"/>
    <n v="10000"/>
    <n v="5000"/>
    <n v="80000"/>
    <n v="960000"/>
    <n v="613954"/>
    <n v="346046"/>
  </r>
  <r>
    <n v="1089"/>
    <s v="Daniyal Khan"/>
    <s v="Male"/>
    <s v="Prep"/>
    <x v="0"/>
    <n v="40000"/>
    <n v="0"/>
    <n v="15000"/>
    <n v="10000"/>
    <n v="5000"/>
    <n v="70000"/>
    <n v="840000"/>
    <n v="790964"/>
    <n v="49036"/>
  </r>
  <r>
    <n v="1090"/>
    <s v="Iqra Ahmed"/>
    <s v="Female"/>
    <s v="Prep"/>
    <x v="0"/>
    <n v="40000"/>
    <n v="0"/>
    <n v="15000"/>
    <n v="10000"/>
    <n v="5000"/>
    <n v="70000"/>
    <n v="840000"/>
    <n v="773494"/>
    <n v="66506"/>
  </r>
  <r>
    <n v="1091"/>
    <s v="Saad Butt"/>
    <s v="Male"/>
    <s v="Grade 1"/>
    <x v="0"/>
    <n v="45000"/>
    <n v="0"/>
    <n v="15000"/>
    <n v="10000"/>
    <n v="5000"/>
    <n v="75000"/>
    <n v="900000"/>
    <n v="483183"/>
    <n v="416817"/>
  </r>
  <r>
    <n v="1092"/>
    <s v="Noor Fatima Ahmad"/>
    <s v="Female"/>
    <s v="Grade 1"/>
    <x v="1"/>
    <n v="45000"/>
    <n v="10000"/>
    <n v="15000"/>
    <n v="10000"/>
    <n v="5000"/>
    <n v="85000"/>
    <n v="1020000"/>
    <n v="1020000"/>
    <n v="0"/>
  </r>
  <r>
    <n v="1093"/>
    <s v="Abdullah Sheikh"/>
    <s v="Male"/>
    <s v="Grade 1"/>
    <x v="1"/>
    <n v="45000"/>
    <n v="10000"/>
    <n v="15000"/>
    <n v="10000"/>
    <n v="5000"/>
    <n v="85000"/>
    <n v="1020000"/>
    <n v="756249"/>
    <n v="263751"/>
  </r>
  <r>
    <n v="1094"/>
    <s v="Anum Javed"/>
    <s v="Female"/>
    <s v="Grade 1"/>
    <x v="0"/>
    <n v="45000"/>
    <n v="0"/>
    <n v="15000"/>
    <n v="10000"/>
    <n v="5000"/>
    <n v="75000"/>
    <n v="900000"/>
    <n v="734032"/>
    <n v="165968"/>
  </r>
  <r>
    <n v="1095"/>
    <s v="Farhan Ali"/>
    <s v="Male"/>
    <s v="Grade 1"/>
    <x v="0"/>
    <n v="45000"/>
    <n v="0"/>
    <n v="15000"/>
    <n v="10000"/>
    <n v="5000"/>
    <n v="75000"/>
    <n v="900000"/>
    <n v="592344"/>
    <n v="307656"/>
  </r>
  <r>
    <n v="1096"/>
    <s v="Laiba Ashraf"/>
    <s v="Female"/>
    <s v="Grade 1"/>
    <x v="1"/>
    <n v="45000"/>
    <n v="10000"/>
    <n v="15000"/>
    <n v="10000"/>
    <n v="5000"/>
    <n v="85000"/>
    <n v="1020000"/>
    <n v="110000"/>
    <n v="910000"/>
  </r>
  <r>
    <n v="1097"/>
    <s v="Rizwan Haider"/>
    <s v="Male"/>
    <s v="Grade 1"/>
    <x v="1"/>
    <n v="45000"/>
    <n v="10000"/>
    <n v="15000"/>
    <n v="10000"/>
    <n v="5000"/>
    <n v="85000"/>
    <n v="1020000"/>
    <n v="191736"/>
    <n v="828264"/>
  </r>
  <r>
    <n v="1098"/>
    <s v="Sana Riaz"/>
    <s v="Female"/>
    <s v="Grade 1"/>
    <x v="0"/>
    <n v="45000"/>
    <n v="0"/>
    <n v="15000"/>
    <n v="10000"/>
    <n v="5000"/>
    <n v="75000"/>
    <n v="900000"/>
    <n v="456828"/>
    <n v="443172"/>
  </r>
  <r>
    <n v="1099"/>
    <s v="Adeel Khan"/>
    <s v="Male"/>
    <s v="Grade 1"/>
    <x v="0"/>
    <n v="45000"/>
    <n v="0"/>
    <n v="15000"/>
    <n v="10000"/>
    <n v="5000"/>
    <n v="75000"/>
    <n v="900000"/>
    <n v="334338"/>
    <n v="565662"/>
  </r>
  <r>
    <n v="1100"/>
    <s v="Madiha Noor"/>
    <s v="Female"/>
    <s v="Grade 1"/>
    <x v="0"/>
    <n v="45000"/>
    <n v="0"/>
    <n v="15000"/>
    <n v="10000"/>
    <n v="5000"/>
    <n v="75000"/>
    <n v="900000"/>
    <n v="756137"/>
    <n v="143863"/>
  </r>
  <r>
    <n v="1101"/>
    <s v="Shahzaib Ahmed"/>
    <s v="Male"/>
    <s v="Grade 1"/>
    <x v="0"/>
    <n v="45000"/>
    <n v="0"/>
    <n v="15000"/>
    <n v="10000"/>
    <n v="5000"/>
    <n v="75000"/>
    <n v="900000"/>
    <n v="720093"/>
    <n v="179907"/>
  </r>
  <r>
    <n v="1102"/>
    <s v="Kinza Tariq"/>
    <s v="Female"/>
    <s v="Grade 1"/>
    <x v="0"/>
    <n v="45000"/>
    <n v="0"/>
    <n v="15000"/>
    <n v="10000"/>
    <n v="5000"/>
    <n v="75000"/>
    <n v="900000"/>
    <n v="398925"/>
    <n v="501075"/>
  </r>
  <r>
    <n v="1103"/>
    <s v="Salman Akhtar"/>
    <s v="Male"/>
    <s v="Grade 1"/>
    <x v="1"/>
    <n v="45000"/>
    <n v="10000"/>
    <n v="15000"/>
    <n v="10000"/>
    <n v="5000"/>
    <n v="85000"/>
    <n v="1020000"/>
    <n v="654963"/>
    <n v="365037"/>
  </r>
  <r>
    <n v="1104"/>
    <s v="Bushra Iqbal"/>
    <s v="Female"/>
    <s v="Grade 1"/>
    <x v="1"/>
    <n v="45000"/>
    <n v="10000"/>
    <n v="15000"/>
    <n v="10000"/>
    <n v="5000"/>
    <n v="85000"/>
    <n v="1020000"/>
    <n v="497268"/>
    <n v="522732"/>
  </r>
  <r>
    <n v="1105"/>
    <s v="Imran Siddique"/>
    <s v="Male"/>
    <s v="Grade 1"/>
    <x v="1"/>
    <n v="45000"/>
    <n v="10000"/>
    <n v="15000"/>
    <n v="10000"/>
    <n v="5000"/>
    <n v="85000"/>
    <n v="1020000"/>
    <n v="605986"/>
    <n v="414014"/>
  </r>
  <r>
    <n v="1106"/>
    <s v="Mahnoor Ali"/>
    <s v="Female"/>
    <s v="Grade 1"/>
    <x v="1"/>
    <n v="45000"/>
    <n v="10000"/>
    <n v="15000"/>
    <n v="10000"/>
    <n v="5000"/>
    <n v="85000"/>
    <n v="1020000"/>
    <n v="141940"/>
    <n v="878060"/>
  </r>
  <r>
    <n v="1107"/>
    <s v="Waqas Ahmad"/>
    <s v="Male"/>
    <s v="Grade 1"/>
    <x v="0"/>
    <n v="45000"/>
    <n v="0"/>
    <n v="15000"/>
    <n v="10000"/>
    <n v="5000"/>
    <n v="75000"/>
    <n v="900000"/>
    <n v="516582"/>
    <n v="383418"/>
  </r>
  <r>
    <n v="1108"/>
    <s v="Eman Fatima"/>
    <s v="Female"/>
    <s v="Grade 1"/>
    <x v="0"/>
    <n v="45000"/>
    <n v="0"/>
    <n v="15000"/>
    <n v="10000"/>
    <n v="5000"/>
    <n v="75000"/>
    <n v="900000"/>
    <n v="626313"/>
    <n v="273687"/>
  </r>
  <r>
    <n v="1109"/>
    <s v="Saba Aslam"/>
    <s v="Female"/>
    <s v="Grade 2"/>
    <x v="1"/>
    <n v="50000"/>
    <n v="10000"/>
    <n v="15000"/>
    <n v="10000"/>
    <n v="5000"/>
    <n v="90000"/>
    <n v="1080000"/>
    <n v="407323"/>
    <n v="672677"/>
  </r>
  <r>
    <n v="1110"/>
    <s v="Noman Raza"/>
    <s v="Male"/>
    <s v="Grade 2"/>
    <x v="1"/>
    <n v="50000"/>
    <n v="10000"/>
    <n v="15000"/>
    <n v="10000"/>
    <n v="5000"/>
    <n v="90000"/>
    <n v="1080000"/>
    <n v="601498"/>
    <n v="478502"/>
  </r>
  <r>
    <n v="1111"/>
    <s v="Junaid Khan"/>
    <s v="Male"/>
    <s v="Grade 2"/>
    <x v="1"/>
    <n v="50000"/>
    <n v="10000"/>
    <n v="15000"/>
    <n v="10000"/>
    <n v="5000"/>
    <n v="90000"/>
    <n v="1080000"/>
    <n v="661117"/>
    <n v="418883"/>
  </r>
  <r>
    <n v="1112"/>
    <s v="Hafsa Malik"/>
    <s v="Female"/>
    <s v="Grade 2"/>
    <x v="1"/>
    <n v="50000"/>
    <n v="10000"/>
    <n v="15000"/>
    <n v="10000"/>
    <n v="5000"/>
    <n v="90000"/>
    <n v="1080000"/>
    <n v="504291"/>
    <n v="575709"/>
  </r>
  <r>
    <n v="1113"/>
    <s v="Talha Mehmood"/>
    <s v="Male"/>
    <s v="Grade 2"/>
    <x v="0"/>
    <n v="50000"/>
    <n v="0"/>
    <n v="15000"/>
    <n v="10000"/>
    <n v="5000"/>
    <n v="80000"/>
    <n v="960000"/>
    <n v="684112"/>
    <n v="275888"/>
  </r>
  <r>
    <n v="1114"/>
    <s v="Rimsha Noor"/>
    <s v="Female"/>
    <s v="Grade 2"/>
    <x v="0"/>
    <n v="50000"/>
    <n v="0"/>
    <n v="15000"/>
    <n v="10000"/>
    <n v="5000"/>
    <n v="80000"/>
    <n v="960000"/>
    <n v="529494"/>
    <n v="430506"/>
  </r>
  <r>
    <n v="1115"/>
    <s v="Arslan Butt"/>
    <s v="Male"/>
    <s v="Grade 2"/>
    <x v="1"/>
    <n v="50000"/>
    <n v="10000"/>
    <n v="15000"/>
    <n v="10000"/>
    <n v="5000"/>
    <n v="90000"/>
    <n v="1080000"/>
    <n v="254013"/>
    <n v="825987"/>
  </r>
  <r>
    <n v="1116"/>
    <s v="Areeba Khan"/>
    <s v="Female"/>
    <s v="Grade 2"/>
    <x v="0"/>
    <n v="50000"/>
    <n v="0"/>
    <n v="15000"/>
    <n v="10000"/>
    <n v="5000"/>
    <n v="80000"/>
    <n v="960000"/>
    <n v="182170"/>
    <n v="777830"/>
  </r>
  <r>
    <n v="1117"/>
    <s v="Adam Khan"/>
    <s v="Male"/>
    <s v="Grade 2"/>
    <x v="0"/>
    <n v="50000"/>
    <n v="0"/>
    <n v="15000"/>
    <n v="10000"/>
    <n v="5000"/>
    <n v="80000"/>
    <n v="960000"/>
    <n v="917843"/>
    <n v="42157"/>
  </r>
  <r>
    <n v="1118"/>
    <s v="Sarah Ahmed"/>
    <s v="Female"/>
    <s v="Grade 2"/>
    <x v="1"/>
    <n v="50000"/>
    <n v="10000"/>
    <n v="15000"/>
    <n v="10000"/>
    <n v="5000"/>
    <n v="90000"/>
    <n v="1080000"/>
    <n v="825947"/>
    <n v="254053"/>
  </r>
  <r>
    <n v="1119"/>
    <s v="Daniel Raza"/>
    <s v="Male"/>
    <s v="Grade 2"/>
    <x v="0"/>
    <n v="50000"/>
    <n v="0"/>
    <n v="15000"/>
    <n v="10000"/>
    <n v="5000"/>
    <n v="80000"/>
    <n v="960000"/>
    <n v="224880"/>
    <n v="735120"/>
  </r>
  <r>
    <n v="1120"/>
    <s v="Amina Noor"/>
    <s v="Female"/>
    <s v="Grade 2"/>
    <x v="0"/>
    <n v="50000"/>
    <n v="0"/>
    <n v="15000"/>
    <n v="10000"/>
    <n v="5000"/>
    <n v="80000"/>
    <n v="960000"/>
    <n v="652409"/>
    <n v="307591"/>
  </r>
  <r>
    <n v="1121"/>
    <s v="Michael Ali"/>
    <s v="Male"/>
    <s v="Grade 2"/>
    <x v="1"/>
    <n v="50000"/>
    <n v="10000"/>
    <n v="15000"/>
    <n v="10000"/>
    <n v="5000"/>
    <n v="90000"/>
    <n v="1080000"/>
    <n v="1031673"/>
    <n v="48327"/>
  </r>
  <r>
    <n v="1122"/>
    <s v="Hoorain Fatima"/>
    <s v="Female"/>
    <s v="Grade 2"/>
    <x v="1"/>
    <n v="50000"/>
    <n v="10000"/>
    <n v="15000"/>
    <n v="10000"/>
    <n v="5000"/>
    <n v="90000"/>
    <n v="1080000"/>
    <n v="1025448"/>
    <n v="54552"/>
  </r>
  <r>
    <n v="1123"/>
    <s v="Ryan Sheikh"/>
    <s v="Male"/>
    <s v="Grade 2"/>
    <x v="1"/>
    <n v="50000"/>
    <n v="10000"/>
    <n v="15000"/>
    <n v="10000"/>
    <n v="5000"/>
    <n v="90000"/>
    <n v="1080000"/>
    <n v="879091"/>
    <n v="200909"/>
  </r>
  <r>
    <n v="1124"/>
    <s v="Anaya Malik"/>
    <s v="Female"/>
    <s v="Grade 2"/>
    <x v="1"/>
    <n v="50000"/>
    <n v="10000"/>
    <n v="15000"/>
    <n v="10000"/>
    <n v="5000"/>
    <n v="90000"/>
    <n v="1080000"/>
    <n v="666091"/>
    <n v="413909"/>
  </r>
  <r>
    <n v="1125"/>
    <s v="Kevin Hussain"/>
    <s v="Male"/>
    <s v="Grade 2"/>
    <x v="0"/>
    <n v="50000"/>
    <n v="0"/>
    <n v="15000"/>
    <n v="10000"/>
    <n v="5000"/>
    <n v="80000"/>
    <n v="960000"/>
    <n v="858525"/>
    <n v="101475"/>
  </r>
  <r>
    <n v="1126"/>
    <s v="Sarmad"/>
    <s v="Male"/>
    <s v="Grade 2"/>
    <x v="1"/>
    <n v="50000"/>
    <n v="10000"/>
    <n v="15000"/>
    <n v="10000"/>
    <n v="5000"/>
    <n v="90000"/>
    <n v="1080000"/>
    <n v="1065777"/>
    <n v="14223"/>
  </r>
  <r>
    <n v="1127"/>
    <s v="Alina Shah"/>
    <s v="Female"/>
    <s v="Grade 3"/>
    <x v="1"/>
    <n v="55000"/>
    <n v="10000"/>
    <n v="15000"/>
    <n v="10000"/>
    <n v="5000"/>
    <n v="95000"/>
    <n v="1140000"/>
    <n v="462520"/>
    <n v="677480"/>
  </r>
  <r>
    <n v="1128"/>
    <s v="Zaviyar"/>
    <s v="Female"/>
    <s v="Grade 3"/>
    <x v="0"/>
    <n v="55000"/>
    <n v="0"/>
    <n v="15000"/>
    <n v="10000"/>
    <n v="5000"/>
    <n v="85000"/>
    <n v="1020000"/>
    <n v="487584"/>
    <n v="532416"/>
  </r>
  <r>
    <n v="1129"/>
    <s v="Hassan Bloom"/>
    <s v="Male"/>
    <s v="Grade 3"/>
    <x v="0"/>
    <n v="55000"/>
    <n v="0"/>
    <n v="15000"/>
    <n v="10000"/>
    <n v="5000"/>
    <n v="85000"/>
    <n v="1020000"/>
    <n v="317199"/>
    <n v="702801"/>
  </r>
  <r>
    <n v="1130"/>
    <s v="Maheen"/>
    <s v="Female"/>
    <s v="Grade 3"/>
    <x v="1"/>
    <n v="55000"/>
    <n v="10000"/>
    <n v="15000"/>
    <n v="10000"/>
    <n v="5000"/>
    <n v="95000"/>
    <n v="1140000"/>
    <n v="348891"/>
    <n v="791109"/>
  </r>
  <r>
    <n v="1131"/>
    <s v="Emma Rauf"/>
    <s v="Female"/>
    <s v="Grade 3"/>
    <x v="1"/>
    <n v="55000"/>
    <n v="10000"/>
    <n v="15000"/>
    <n v="10000"/>
    <n v="5000"/>
    <n v="95000"/>
    <n v="1140000"/>
    <n v="619491"/>
    <n v="520509"/>
  </r>
  <r>
    <n v="1132"/>
    <s v="Sabeera"/>
    <s v="Female"/>
    <s v="Grade 3"/>
    <x v="0"/>
    <n v="55000"/>
    <n v="0"/>
    <n v="15000"/>
    <n v="10000"/>
    <n v="5000"/>
    <n v="85000"/>
    <n v="1020000"/>
    <n v="184458"/>
    <n v="835542"/>
  </r>
  <r>
    <n v="1133"/>
    <s v="Nehan"/>
    <s v="Male"/>
    <s v="Grade 3"/>
    <x v="0"/>
    <n v="55000"/>
    <n v="0"/>
    <n v="15000"/>
    <n v="10000"/>
    <n v="5000"/>
    <n v="85000"/>
    <n v="1020000"/>
    <n v="194948"/>
    <n v="825052"/>
  </r>
  <r>
    <n v="1134"/>
    <s v="Nahyan"/>
    <s v="Male"/>
    <s v="Grade 3"/>
    <x v="0"/>
    <n v="55000"/>
    <n v="0"/>
    <n v="15000"/>
    <n v="10000"/>
    <n v="5000"/>
    <n v="85000"/>
    <n v="1020000"/>
    <n v="356869"/>
    <n v="663131"/>
  </r>
  <r>
    <n v="1135"/>
    <s v="Haroon"/>
    <s v="Male"/>
    <s v="Grade 3"/>
    <x v="0"/>
    <n v="55000"/>
    <n v="0"/>
    <n v="15000"/>
    <n v="10000"/>
    <n v="5000"/>
    <n v="85000"/>
    <n v="1020000"/>
    <n v="888104"/>
    <n v="131896"/>
  </r>
  <r>
    <n v="1136"/>
    <s v="Hamdan Qureshi"/>
    <s v="Female"/>
    <s v="Grade 3"/>
    <x v="0"/>
    <n v="55000"/>
    <n v="0"/>
    <n v="15000"/>
    <n v="10000"/>
    <n v="5000"/>
    <n v="85000"/>
    <n v="1020000"/>
    <n v="221442"/>
    <n v="798558"/>
  </r>
  <r>
    <n v="1137"/>
    <s v="Sophia Iqbal"/>
    <s v="Female"/>
    <s v="Grade 3"/>
    <x v="0"/>
    <n v="55000"/>
    <n v="0"/>
    <n v="15000"/>
    <n v="10000"/>
    <n v="5000"/>
    <n v="85000"/>
    <n v="1020000"/>
    <n v="1001770"/>
    <n v="18230"/>
  </r>
  <r>
    <n v="1138"/>
    <s v="Zain Walker"/>
    <s v="Male"/>
    <s v="Grade 3"/>
    <x v="0"/>
    <n v="55000"/>
    <n v="0"/>
    <n v="15000"/>
    <n v="10000"/>
    <n v="5000"/>
    <n v="85000"/>
    <n v="1020000"/>
    <n v="179586"/>
    <n v="840414"/>
  </r>
  <r>
    <n v="1139"/>
    <s v="Maria Siddiqui"/>
    <s v="Female"/>
    <s v="Grade 3"/>
    <x v="0"/>
    <n v="55000"/>
    <n v="0"/>
    <n v="15000"/>
    <n v="10000"/>
    <n v="5000"/>
    <n v="85000"/>
    <n v="1020000"/>
    <n v="285608"/>
    <n v="734392"/>
  </r>
  <r>
    <n v="1140"/>
    <s v="Jason Akhtar"/>
    <s v="Male"/>
    <s v="Grade 3"/>
    <x v="1"/>
    <n v="55000"/>
    <n v="10000"/>
    <n v="15000"/>
    <n v="10000"/>
    <n v="5000"/>
    <n v="95000"/>
    <n v="1140000"/>
    <n v="535110"/>
    <n v="604890"/>
  </r>
  <r>
    <n v="1141"/>
    <s v="Eliza Khan"/>
    <s v="Female"/>
    <s v="Grade 3"/>
    <x v="1"/>
    <n v="55000"/>
    <n v="10000"/>
    <n v="15000"/>
    <n v="10000"/>
    <n v="5000"/>
    <n v="95000"/>
    <n v="1140000"/>
    <n v="151513"/>
    <n v="988487"/>
  </r>
  <r>
    <n v="1142"/>
    <s v="Ibrahim Stone"/>
    <s v="Male"/>
    <s v="Grade 3"/>
    <x v="1"/>
    <n v="55000"/>
    <n v="10000"/>
    <n v="15000"/>
    <n v="10000"/>
    <n v="5000"/>
    <n v="95000"/>
    <n v="1140000"/>
    <n v="427737"/>
    <n v="712263"/>
  </r>
  <r>
    <n v="1143"/>
    <s v="Areej Fatima"/>
    <s v="Female"/>
    <s v="Grade 3"/>
    <x v="1"/>
    <n v="55000"/>
    <n v="10000"/>
    <n v="15000"/>
    <n v="10000"/>
    <n v="5000"/>
    <n v="95000"/>
    <n v="1140000"/>
    <n v="667800"/>
    <n v="472200"/>
  </r>
  <r>
    <n v="1144"/>
    <s v="Noah Tariq"/>
    <s v="Male"/>
    <s v="Grade 3"/>
    <x v="0"/>
    <n v="55000"/>
    <n v="0"/>
    <n v="15000"/>
    <n v="10000"/>
    <n v="5000"/>
    <n v="85000"/>
    <n v="1020000"/>
    <n v="642082"/>
    <n v="377918"/>
  </r>
  <r>
    <n v="1145"/>
    <s v="Lily Ahmed"/>
    <s v="Female"/>
    <s v="Grade 4"/>
    <x v="0"/>
    <n v="60000"/>
    <n v="0"/>
    <n v="15000"/>
    <n v="10000"/>
    <n v="5000"/>
    <n v="90000"/>
    <n v="1080000"/>
    <n v="935825"/>
    <n v="144175"/>
  </r>
  <r>
    <n v="1146"/>
    <s v="Rayyan Brooks"/>
    <s v="Male"/>
    <s v="Grade 4"/>
    <x v="0"/>
    <n v="60000"/>
    <n v="0"/>
    <n v="15000"/>
    <n v="10000"/>
    <n v="5000"/>
    <n v="90000"/>
    <n v="1080000"/>
    <n v="999514"/>
    <n v="80486"/>
  </r>
  <r>
    <n v="1147"/>
    <s v="Maham Noor"/>
    <s v="Female"/>
    <s v="Grade 4"/>
    <x v="0"/>
    <n v="60000"/>
    <n v="0"/>
    <n v="15000"/>
    <n v="10000"/>
    <n v="5000"/>
    <n v="90000"/>
    <n v="1080000"/>
    <n v="707992"/>
    <n v="372008"/>
  </r>
  <r>
    <n v="1148"/>
    <s v="Alex Farooq"/>
    <s v="Male"/>
    <s v="Grade 4"/>
    <x v="1"/>
    <n v="60000"/>
    <n v="10000"/>
    <n v="15000"/>
    <n v="10000"/>
    <n v="5000"/>
    <n v="100000"/>
    <n v="1200000"/>
    <n v="401242"/>
    <n v="798758"/>
  </r>
  <r>
    <n v="1149"/>
    <s v="Hana Ali"/>
    <s v="Female"/>
    <s v="Grade 4"/>
    <x v="1"/>
    <n v="60000"/>
    <n v="10000"/>
    <n v="15000"/>
    <n v="10000"/>
    <n v="5000"/>
    <n v="100000"/>
    <n v="1200000"/>
    <n v="339663"/>
    <n v="860337"/>
  </r>
  <r>
    <n v="1150"/>
    <s v="Ethan Butt"/>
    <s v="Male"/>
    <s v="Grade 4"/>
    <x v="1"/>
    <n v="60000"/>
    <n v="10000"/>
    <n v="15000"/>
    <n v="10000"/>
    <n v="5000"/>
    <n v="100000"/>
    <n v="1200000"/>
    <n v="654889"/>
    <n v="545111"/>
  </r>
  <r>
    <n v="1151"/>
    <s v="Zara Collins"/>
    <s v="Female"/>
    <s v="Grade 4"/>
    <x v="0"/>
    <n v="60000"/>
    <n v="0"/>
    <n v="15000"/>
    <n v="10000"/>
    <n v="5000"/>
    <n v="90000"/>
    <n v="1080000"/>
    <n v="420135"/>
    <n v="659865"/>
  </r>
  <r>
    <n v="1152"/>
    <s v="Saif Morgan"/>
    <s v="Male"/>
    <s v="Grade 4"/>
    <x v="1"/>
    <n v="60000"/>
    <n v="10000"/>
    <n v="15000"/>
    <n v="10000"/>
    <n v="5000"/>
    <n v="100000"/>
    <n v="1200000"/>
    <n v="880243"/>
    <n v="319757"/>
  </r>
  <r>
    <n v="1153"/>
    <s v="Noor Ul Ain"/>
    <s v="Female"/>
    <s v="Grade 4"/>
    <x v="1"/>
    <n v="60000"/>
    <n v="10000"/>
    <n v="15000"/>
    <n v="10000"/>
    <n v="5000"/>
    <n v="100000"/>
    <n v="1200000"/>
    <n v="957914"/>
    <n v="242086"/>
  </r>
  <r>
    <n v="1154"/>
    <s v="Owen Rashid"/>
    <s v="Male"/>
    <s v="Grade 4"/>
    <x v="0"/>
    <n v="60000"/>
    <n v="0"/>
    <n v="15000"/>
    <n v="10000"/>
    <n v="5000"/>
    <n v="90000"/>
    <n v="1080000"/>
    <n v="508000"/>
    <n v="572000"/>
  </r>
  <r>
    <n v="1155"/>
    <s v="Mehwish Khan"/>
    <s v="Female"/>
    <s v="Grade 4"/>
    <x v="0"/>
    <n v="60000"/>
    <n v="0"/>
    <n v="15000"/>
    <n v="10000"/>
    <n v="5000"/>
    <n v="90000"/>
    <n v="1080000"/>
    <n v="122622"/>
    <n v="957378"/>
  </r>
  <r>
    <n v="1156"/>
    <s v="Lucas Mehmood"/>
    <s v="Female"/>
    <s v="Grade 4"/>
    <x v="1"/>
    <n v="60000"/>
    <n v="10000"/>
    <n v="15000"/>
    <n v="10000"/>
    <n v="5000"/>
    <n v="100000"/>
    <n v="1200000"/>
    <n v="557320"/>
    <n v="642680"/>
  </r>
  <r>
    <n v="1157"/>
    <s v="Aaliyah Shah"/>
    <s v="Female"/>
    <s v="Grade 4"/>
    <x v="1"/>
    <n v="60000"/>
    <n v="10000"/>
    <n v="15000"/>
    <n v="10000"/>
    <n v="5000"/>
    <n v="100000"/>
    <n v="1200000"/>
    <n v="671938"/>
    <n v="528062"/>
  </r>
  <r>
    <n v="1158"/>
    <s v="Aaron Nawaz"/>
    <s v="Female"/>
    <s v="Grade 4"/>
    <x v="0"/>
    <n v="60000"/>
    <n v="0"/>
    <n v="15000"/>
    <n v="10000"/>
    <n v="5000"/>
    <n v="90000"/>
    <n v="1080000"/>
    <n v="491887"/>
    <n v="588113"/>
  </r>
  <r>
    <n v="1159"/>
    <s v="Hiba Raza"/>
    <s v="Female"/>
    <s v="Grade 4"/>
    <x v="1"/>
    <n v="60000"/>
    <n v="10000"/>
    <n v="15000"/>
    <n v="10000"/>
    <n v="5000"/>
    <n v="100000"/>
    <n v="1200000"/>
    <n v="134476"/>
    <n v="1065524"/>
  </r>
  <r>
    <n v="1160"/>
    <s v="David Ansari"/>
    <s v="Male"/>
    <s v="Grade 4"/>
    <x v="1"/>
    <n v="60000"/>
    <n v="10000"/>
    <n v="15000"/>
    <n v="10000"/>
    <n v="5000"/>
    <n v="100000"/>
    <n v="1200000"/>
    <n v="457721"/>
    <n v="742279"/>
  </r>
  <r>
    <n v="1161"/>
    <s v="Inaya Noor"/>
    <s v="Female"/>
    <s v="Grade 4"/>
    <x v="0"/>
    <n v="60000"/>
    <n v="0"/>
    <n v="15000"/>
    <n v="10000"/>
    <n v="5000"/>
    <n v="90000"/>
    <n v="1080000"/>
    <n v="563164"/>
    <n v="516836"/>
  </r>
  <r>
    <n v="1162"/>
    <s v="Samuel Qazi"/>
    <s v="Male"/>
    <s v="Grade 4"/>
    <x v="0"/>
    <n v="60000"/>
    <n v="0"/>
    <n v="15000"/>
    <n v="10000"/>
    <n v="5000"/>
    <n v="90000"/>
    <n v="1080000"/>
    <n v="929401"/>
    <n v="150599"/>
  </r>
  <r>
    <n v="1163"/>
    <s v="Rida Malik"/>
    <s v="Female"/>
    <s v="Grade 5"/>
    <x v="0"/>
    <n v="65000"/>
    <n v="0"/>
    <n v="15000"/>
    <n v="10000"/>
    <n v="5000"/>
    <n v="95000"/>
    <n v="1140000"/>
    <n v="913586"/>
    <n v="226414"/>
  </r>
  <r>
    <n v="1164"/>
    <s v="Leo Hassan"/>
    <s v="Male"/>
    <s v="Grade 5"/>
    <x v="0"/>
    <n v="65000"/>
    <n v="0"/>
    <n v="15000"/>
    <n v="10000"/>
    <n v="5000"/>
    <n v="95000"/>
    <n v="1140000"/>
    <n v="119410"/>
    <n v="1020590"/>
  </r>
  <r>
    <n v="1165"/>
    <s v="Fariha Noor"/>
    <s v="Female"/>
    <s v="Grade 5"/>
    <x v="1"/>
    <n v="65000"/>
    <n v="10000"/>
    <n v="15000"/>
    <n v="10000"/>
    <n v="5000"/>
    <n v="105000"/>
    <n v="1260000"/>
    <n v="892530"/>
    <n v="367470"/>
  </r>
  <r>
    <n v="1166"/>
    <s v="Oliver Javed"/>
    <s v="Female"/>
    <s v="Grade 5"/>
    <x v="0"/>
    <n v="65000"/>
    <n v="0"/>
    <n v="15000"/>
    <n v="10000"/>
    <n v="5000"/>
    <n v="95000"/>
    <n v="1140000"/>
    <n v="521830"/>
    <n v="618170"/>
  </r>
  <r>
    <n v="1167"/>
    <s v="Ayesha Wood"/>
    <s v="Female"/>
    <s v="Grade 5"/>
    <x v="0"/>
    <n v="65000"/>
    <n v="0"/>
    <n v="15000"/>
    <n v="10000"/>
    <n v="5000"/>
    <n v="95000"/>
    <n v="1140000"/>
    <n v="385589"/>
    <n v="754411"/>
  </r>
  <r>
    <n v="1168"/>
    <s v="Mark Iqbal"/>
    <s v="Male"/>
    <s v="Grade 5"/>
    <x v="0"/>
    <n v="65000"/>
    <n v="0"/>
    <n v="15000"/>
    <n v="10000"/>
    <n v="5000"/>
    <n v="95000"/>
    <n v="1140000"/>
    <n v="888076"/>
    <n v="251924"/>
  </r>
  <r>
    <n v="1169"/>
    <s v="Talia Ahmed"/>
    <s v="Female"/>
    <s v="Grade 5"/>
    <x v="0"/>
    <n v="65000"/>
    <n v="0"/>
    <n v="15000"/>
    <n v="10000"/>
    <n v="5000"/>
    <n v="95000"/>
    <n v="1140000"/>
    <n v="275665"/>
    <n v="864335"/>
  </r>
  <r>
    <n v="1170"/>
    <s v="Yusuf Grant"/>
    <s v="Male"/>
    <s v="Grade 5"/>
    <x v="1"/>
    <n v="65000"/>
    <n v="10000"/>
    <n v="15000"/>
    <n v="10000"/>
    <n v="5000"/>
    <n v="105000"/>
    <n v="1260000"/>
    <n v="300421"/>
    <n v="959579"/>
  </r>
  <r>
    <n v="1171"/>
    <s v="Saniya Khan"/>
    <s v="Female"/>
    <s v="Grade 5"/>
    <x v="1"/>
    <n v="65000"/>
    <n v="10000"/>
    <n v="15000"/>
    <n v="10000"/>
    <n v="5000"/>
    <n v="105000"/>
    <n v="1260000"/>
    <n v="399678"/>
    <n v="860322"/>
  </r>
  <r>
    <n v="1172"/>
    <s v="Ben Haider"/>
    <s v="Male"/>
    <s v="Grade 5"/>
    <x v="1"/>
    <n v="65000"/>
    <n v="10000"/>
    <n v="15000"/>
    <n v="10000"/>
    <n v="5000"/>
    <n v="105000"/>
    <n v="1260000"/>
    <n v="646252"/>
    <n v="613748"/>
  </r>
  <r>
    <n v="1173"/>
    <s v="Iman Fatima"/>
    <s v="Female"/>
    <s v="Grade 5"/>
    <x v="1"/>
    <n v="65000"/>
    <n v="10000"/>
    <n v="15000"/>
    <n v="10000"/>
    <n v="5000"/>
    <n v="105000"/>
    <n v="1260000"/>
    <n v="736849"/>
    <n v="523151"/>
  </r>
  <r>
    <n v="1174"/>
    <s v="Jacob Riaz"/>
    <s v="Male"/>
    <s v="Grade 5"/>
    <x v="0"/>
    <n v="65000"/>
    <n v="0"/>
    <n v="15000"/>
    <n v="10000"/>
    <n v="5000"/>
    <n v="95000"/>
    <n v="1140000"/>
    <n v="161049"/>
    <n v="978951"/>
  </r>
  <r>
    <n v="1175"/>
    <s v="Amara Sheikh"/>
    <s v="Female"/>
    <s v="Grade 5"/>
    <x v="0"/>
    <n v="65000"/>
    <n v="0"/>
    <n v="15000"/>
    <n v="10000"/>
    <n v="5000"/>
    <n v="95000"/>
    <n v="1140000"/>
    <n v="524819"/>
    <n v="615181"/>
  </r>
  <r>
    <n v="1176"/>
    <s v="Tony Aslam"/>
    <s v="Male"/>
    <s v="Grade 5"/>
    <x v="1"/>
    <n v="65000"/>
    <n v="10000"/>
    <n v="15000"/>
    <n v="10000"/>
    <n v="5000"/>
    <n v="105000"/>
    <n v="1260000"/>
    <n v="999748"/>
    <n v="260252"/>
  </r>
  <r>
    <n v="1177"/>
    <s v="Khadija Noor"/>
    <s v="Female"/>
    <s v="Grade 5"/>
    <x v="0"/>
    <n v="65000"/>
    <n v="0"/>
    <n v="15000"/>
    <n v="10000"/>
    <n v="5000"/>
    <n v="95000"/>
    <n v="1140000"/>
    <n v="240761"/>
    <n v="899239"/>
  </r>
  <r>
    <n v="1178"/>
    <s v="Scott Ali"/>
    <s v="Male"/>
    <s v="Grade 5"/>
    <x v="0"/>
    <n v="65000"/>
    <n v="0"/>
    <n v="15000"/>
    <n v="10000"/>
    <n v="5000"/>
    <n v="95000"/>
    <n v="1140000"/>
    <n v="311508"/>
    <n v="828492"/>
  </r>
  <r>
    <n v="1179"/>
    <s v="Mahnoor Khan"/>
    <s v="Female"/>
    <s v="Grade 5"/>
    <x v="1"/>
    <n v="65000"/>
    <n v="10000"/>
    <n v="15000"/>
    <n v="10000"/>
    <n v="5000"/>
    <n v="105000"/>
    <n v="1260000"/>
    <n v="565584"/>
    <n v="694416"/>
  </r>
  <r>
    <n v="1180"/>
    <s v="Calvin Tariq"/>
    <s v="Female"/>
    <s v="Grade 5"/>
    <x v="1"/>
    <n v="65000"/>
    <n v="10000"/>
    <n v="15000"/>
    <n v="10000"/>
    <n v="5000"/>
    <n v="105000"/>
    <n v="1260000"/>
    <n v="1031745"/>
    <n v="228255"/>
  </r>
  <r>
    <n v="1181"/>
    <s v="Sana Rose"/>
    <s v="Female"/>
    <s v="Grade 6"/>
    <x v="0"/>
    <n v="70000"/>
    <n v="0"/>
    <n v="15000"/>
    <n v="10000"/>
    <n v="5000"/>
    <n v="100000"/>
    <n v="1200000"/>
    <n v="998134"/>
    <n v="201866"/>
  </r>
  <r>
    <n v="1182"/>
    <s v="Daniel Butt"/>
    <s v="Male"/>
    <s v="Grade 6"/>
    <x v="0"/>
    <n v="70000"/>
    <n v="0"/>
    <n v="15000"/>
    <n v="10000"/>
    <n v="5000"/>
    <n v="100000"/>
    <n v="1200000"/>
    <n v="1022448"/>
    <n v="177552"/>
  </r>
  <r>
    <n v="1183"/>
    <s v="Iqra James"/>
    <s v="Female"/>
    <s v="Grade 6"/>
    <x v="0"/>
    <n v="70000"/>
    <n v="0"/>
    <n v="15000"/>
    <n v="10000"/>
    <n v="5000"/>
    <n v="100000"/>
    <n v="1200000"/>
    <n v="201360"/>
    <n v="998640"/>
  </r>
  <r>
    <n v="1184"/>
    <s v="Ryan Mehmood"/>
    <s v="Male"/>
    <s v="Grade 6"/>
    <x v="1"/>
    <n v="70000"/>
    <n v="10000"/>
    <n v="15000"/>
    <n v="10000"/>
    <n v="5000"/>
    <n v="110000"/>
    <n v="1320000"/>
    <n v="1100000"/>
    <n v="220000"/>
  </r>
  <r>
    <n v="1185"/>
    <s v="Zoya White"/>
    <s v="Female"/>
    <s v="Grade 6"/>
    <x v="0"/>
    <n v="70000"/>
    <n v="0"/>
    <n v="15000"/>
    <n v="10000"/>
    <n v="5000"/>
    <n v="100000"/>
    <n v="1200000"/>
    <n v="168385"/>
    <n v="1031615"/>
  </r>
  <r>
    <n v="1186"/>
    <s v="Nathan Rauf"/>
    <s v="Male"/>
    <s v="Grade 6"/>
    <x v="1"/>
    <n v="70000"/>
    <n v="10000"/>
    <n v="15000"/>
    <n v="10000"/>
    <n v="5000"/>
    <n v="110000"/>
    <n v="1320000"/>
    <n v="608691"/>
    <n v="711309"/>
  </r>
  <r>
    <n v="1187"/>
    <s v="Bushra Lane"/>
    <s v="Female"/>
    <s v="Grade 6"/>
    <x v="0"/>
    <n v="70000"/>
    <n v="0"/>
    <n v="15000"/>
    <n v="10000"/>
    <n v="5000"/>
    <n v="100000"/>
    <n v="1200000"/>
    <n v="917848"/>
    <n v="282152"/>
  </r>
  <r>
    <n v="1188"/>
    <s v="Amir Watson"/>
    <s v="Male"/>
    <s v="Grade 6"/>
    <x v="1"/>
    <n v="70000"/>
    <n v="10000"/>
    <n v="15000"/>
    <n v="10000"/>
    <n v="5000"/>
    <n v="110000"/>
    <n v="1320000"/>
    <n v="942453"/>
    <n v="377547"/>
  </r>
  <r>
    <n v="1189"/>
    <s v="Eshal Noor"/>
    <s v="Female"/>
    <s v="Grade 6"/>
    <x v="1"/>
    <n v="70000"/>
    <n v="10000"/>
    <n v="15000"/>
    <n v="10000"/>
    <n v="5000"/>
    <n v="110000"/>
    <n v="1320000"/>
    <n v="804443"/>
    <n v="515557"/>
  </r>
  <r>
    <n v="1190"/>
    <s v="Chris Qureshi"/>
    <s v="Male"/>
    <s v="Grade 6"/>
    <x v="0"/>
    <n v="70000"/>
    <n v="0"/>
    <n v="15000"/>
    <n v="10000"/>
    <n v="5000"/>
    <n v="100000"/>
    <n v="1200000"/>
    <n v="401018"/>
    <n v="798982"/>
  </r>
  <r>
    <n v="1191"/>
    <s v="Laiba Adams"/>
    <s v="Female"/>
    <s v="Grade 6"/>
    <x v="0"/>
    <n v="70000"/>
    <n v="0"/>
    <n v="15000"/>
    <n v="10000"/>
    <n v="5000"/>
    <n v="100000"/>
    <n v="1200000"/>
    <n v="1067638"/>
    <n v="132362"/>
  </r>
  <r>
    <n v="1192"/>
    <s v="Ayan Scott"/>
    <s v="Male"/>
    <s v="Grade 6"/>
    <x v="0"/>
    <n v="70000"/>
    <n v="0"/>
    <n v="15000"/>
    <n v="10000"/>
    <n v="5000"/>
    <n v="100000"/>
    <n v="1200000"/>
    <n v="508162"/>
    <n v="691838"/>
  </r>
  <r>
    <n v="1193"/>
    <s v="Miriam Khan"/>
    <s v="Female"/>
    <s v="Grade 6"/>
    <x v="0"/>
    <n v="70000"/>
    <n v="0"/>
    <n v="15000"/>
    <n v="10000"/>
    <n v="5000"/>
    <n v="100000"/>
    <n v="1200000"/>
    <n v="479394"/>
    <n v="720606"/>
  </r>
  <r>
    <n v="1194"/>
    <s v="Emma Rauf"/>
    <s v="Female"/>
    <s v="Grade 6"/>
    <x v="0"/>
    <n v="70000"/>
    <n v="0"/>
    <n v="15000"/>
    <n v="10000"/>
    <n v="5000"/>
    <n v="100000"/>
    <n v="1200000"/>
    <n v="463450"/>
    <n v="736550"/>
  </r>
  <r>
    <n v="1195"/>
    <s v="Peter Akram"/>
    <s v="Male"/>
    <s v="Grade 6"/>
    <x v="1"/>
    <n v="70000"/>
    <n v="10000"/>
    <n v="15000"/>
    <n v="10000"/>
    <n v="5000"/>
    <n v="110000"/>
    <n v="1320000"/>
    <n v="580048"/>
    <n v="739952"/>
  </r>
  <r>
    <n v="1196"/>
    <s v="Farooq Ahmad"/>
    <s v="Male"/>
    <s v="Grade 6"/>
    <x v="1"/>
    <n v="70000"/>
    <n v="10000"/>
    <n v="15000"/>
    <n v="10000"/>
    <n v="5000"/>
    <n v="110000"/>
    <n v="1320000"/>
    <n v="389740"/>
    <n v="930260"/>
  </r>
  <r>
    <n v="1197"/>
    <s v="Anum Grey"/>
    <s v="Male"/>
    <s v="Grade 6"/>
    <x v="1"/>
    <n v="70000"/>
    <n v="10000"/>
    <n v="15000"/>
    <n v="10000"/>
    <n v="5000"/>
    <n v="110000"/>
    <n v="1320000"/>
    <n v="990243"/>
    <n v="329757"/>
  </r>
  <r>
    <n v="1198"/>
    <s v="sara"/>
    <s v="Female"/>
    <s v="Grade 6"/>
    <x v="1"/>
    <n v="70000"/>
    <n v="10000"/>
    <n v="15000"/>
    <n v="10000"/>
    <n v="5000"/>
    <n v="110000"/>
    <n v="1320000"/>
    <n v="431854"/>
    <n v="888146"/>
  </r>
  <r>
    <n v="1199"/>
    <s v="Shawn Ali"/>
    <s v="Male"/>
    <s v="Grade 7"/>
    <x v="0"/>
    <n v="75000"/>
    <n v="0"/>
    <n v="15000"/>
    <n v="10000"/>
    <n v="5000"/>
    <n v="105000"/>
    <n v="1260000"/>
    <n v="278440"/>
    <n v="981560"/>
  </r>
  <r>
    <n v="1200"/>
    <s v="amna"/>
    <s v="Female"/>
    <s v="Grade 7"/>
    <x v="0"/>
    <n v="75000"/>
    <n v="0"/>
    <n v="15000"/>
    <n v="10000"/>
    <n v="5000"/>
    <n v="105000"/>
    <n v="1260000"/>
    <n v="457361"/>
    <n v="802639"/>
  </r>
  <r>
    <n v="1201"/>
    <s v="Noreen Malik"/>
    <s v="Female"/>
    <s v="Grade 7"/>
    <x v="0"/>
    <n v="75000"/>
    <n v="0"/>
    <n v="15000"/>
    <n v="10000"/>
    <n v="5000"/>
    <n v="105000"/>
    <n v="1260000"/>
    <n v="327414"/>
    <n v="932586"/>
  </r>
  <r>
    <n v="1202"/>
    <s v="Jahan Ara"/>
    <s v="Female"/>
    <s v="Grade 7"/>
    <x v="1"/>
    <n v="75000"/>
    <n v="10000"/>
    <n v="15000"/>
    <n v="10000"/>
    <n v="5000"/>
    <n v="115000"/>
    <n v="1380000"/>
    <n v="480367"/>
    <n v="899633"/>
  </r>
  <r>
    <n v="1203"/>
    <s v="Hamid Brooks"/>
    <s v="Male"/>
    <s v="Grade 7"/>
    <x v="0"/>
    <n v="75000"/>
    <n v="0"/>
    <n v="15000"/>
    <n v="10000"/>
    <n v="5000"/>
    <n v="105000"/>
    <n v="1260000"/>
    <n v="562596"/>
    <n v="697404"/>
  </r>
  <r>
    <n v="1204"/>
    <s v="Irfan "/>
    <s v="Male"/>
    <s v="Grade 7"/>
    <x v="1"/>
    <n v="75000"/>
    <n v="10000"/>
    <n v="15000"/>
    <n v="10000"/>
    <n v="5000"/>
    <n v="115000"/>
    <n v="1380000"/>
    <n v="480449"/>
    <n v="899551"/>
  </r>
  <r>
    <n v="1205"/>
    <s v="Clara Hussain"/>
    <s v="Male"/>
    <s v="Grade 7"/>
    <x v="0"/>
    <n v="75000"/>
    <n v="0"/>
    <n v="15000"/>
    <n v="10000"/>
    <n v="5000"/>
    <n v="105000"/>
    <n v="1260000"/>
    <n v="123864"/>
    <n v="1136136"/>
  </r>
  <r>
    <n v="1206"/>
    <s v="Adam Ali "/>
    <s v="Male"/>
    <s v="Grade 7"/>
    <x v="0"/>
    <n v="75000"/>
    <n v="0"/>
    <n v="15000"/>
    <n v="10000"/>
    <n v="5000"/>
    <n v="105000"/>
    <n v="1260000"/>
    <n v="455773"/>
    <n v="804227"/>
  </r>
  <r>
    <n v="1207"/>
    <s v="Justin Raza"/>
    <s v="Male"/>
    <s v="Grade 7"/>
    <x v="1"/>
    <n v="75000"/>
    <n v="10000"/>
    <n v="15000"/>
    <n v="10000"/>
    <n v="5000"/>
    <n v="115000"/>
    <n v="1380000"/>
    <n v="1268223"/>
    <n v="111777"/>
  </r>
  <r>
    <n v="1208"/>
    <s v="Farah Stone"/>
    <s v="Female"/>
    <s v="Grade 7"/>
    <x v="1"/>
    <n v="75000"/>
    <n v="10000"/>
    <n v="15000"/>
    <n v="10000"/>
    <n v="5000"/>
    <n v="115000"/>
    <n v="1380000"/>
    <n v="589147"/>
    <n v="790853"/>
  </r>
  <r>
    <n v="1209"/>
    <s v="Alex Brown"/>
    <s v="Male"/>
    <s v="Grade 7"/>
    <x v="0"/>
    <n v="75000"/>
    <n v="0"/>
    <n v="15000"/>
    <n v="10000"/>
    <n v="5000"/>
    <n v="105000"/>
    <n v="1260000"/>
    <n v="556991"/>
    <n v="703009"/>
  </r>
  <r>
    <n v="1210"/>
    <s v="ahamad"/>
    <s v="Male"/>
    <s v="Grade 7"/>
    <x v="1"/>
    <n v="75000"/>
    <n v="10000"/>
    <n v="15000"/>
    <n v="10000"/>
    <n v="5000"/>
    <n v="115000"/>
    <n v="1380000"/>
    <n v="760027"/>
    <n v="619973"/>
  </r>
  <r>
    <n v="1211"/>
    <s v="Sarah Smith"/>
    <s v="Female"/>
    <s v="Grade 7"/>
    <x v="0"/>
    <n v="75000"/>
    <n v="0"/>
    <n v="15000"/>
    <n v="10000"/>
    <n v="5000"/>
    <n v="105000"/>
    <n v="1260000"/>
    <n v="199832"/>
    <n v="1060168"/>
  </r>
  <r>
    <n v="1212"/>
    <s v="Fatima Junaid"/>
    <s v="Female"/>
    <s v="Grade 7"/>
    <x v="1"/>
    <n v="75000"/>
    <n v="10000"/>
    <n v="15000"/>
    <n v="10000"/>
    <n v="5000"/>
    <n v="115000"/>
    <n v="1380000"/>
    <n v="894484"/>
    <n v="485516"/>
  </r>
  <r>
    <n v="1213"/>
    <s v="Daniel Khan"/>
    <s v="Male"/>
    <s v="Grade 7"/>
    <x v="1"/>
    <n v="75000"/>
    <n v="10000"/>
    <n v="15000"/>
    <n v="10000"/>
    <n v="5000"/>
    <n v="115000"/>
    <n v="1380000"/>
    <n v="722523"/>
    <n v="657477"/>
  </r>
  <r>
    <n v="1214"/>
    <s v="Ruchika"/>
    <s v="Female"/>
    <s v="Grade 7"/>
    <x v="1"/>
    <n v="75000"/>
    <n v="10000"/>
    <n v="15000"/>
    <n v="10000"/>
    <n v="5000"/>
    <n v="115000"/>
    <n v="1380000"/>
    <n v="398679"/>
    <n v="981321"/>
  </r>
  <r>
    <n v="1215"/>
    <s v="Amina Ali"/>
    <s v="Female"/>
    <s v="Grade 7"/>
    <x v="0"/>
    <n v="75000"/>
    <n v="0"/>
    <n v="15000"/>
    <n v="10000"/>
    <n v="5000"/>
    <n v="105000"/>
    <n v="1260000"/>
    <n v="1255000"/>
    <n v="5000"/>
  </r>
  <r>
    <n v="1216"/>
    <s v="Shahruk Khan"/>
    <s v="Male"/>
    <s v="Grade 7"/>
    <x v="0"/>
    <n v="75000"/>
    <n v="0"/>
    <n v="15000"/>
    <n v="10000"/>
    <n v="5000"/>
    <n v="105000"/>
    <n v="1260000"/>
    <n v="144076"/>
    <n v="1115924"/>
  </r>
  <r>
    <n v="1217"/>
    <s v="Michael Ahmed"/>
    <s v="Male"/>
    <s v="Grade 8"/>
    <x v="0"/>
    <n v="80000"/>
    <n v="0"/>
    <n v="15000"/>
    <n v="10000"/>
    <n v="5000"/>
    <n v="110000"/>
    <n v="1320000"/>
    <n v="1040038"/>
    <n v="279962"/>
  </r>
  <r>
    <n v="1218"/>
    <s v="Sana"/>
    <s v="Female"/>
    <s v="Grade 8"/>
    <x v="1"/>
    <n v="80000"/>
    <n v="10000"/>
    <n v="15000"/>
    <n v="10000"/>
    <n v="5000"/>
    <n v="120000"/>
    <n v="1440000"/>
    <n v="346298"/>
    <n v="1093702"/>
  </r>
  <r>
    <n v="1219"/>
    <s v="Hoorain Fatima"/>
    <s v="Female"/>
    <s v="Grade 8"/>
    <x v="1"/>
    <n v="80000"/>
    <n v="10000"/>
    <n v="15000"/>
    <n v="10000"/>
    <n v="5000"/>
    <n v="120000"/>
    <n v="1440000"/>
    <n v="581024"/>
    <n v="858976"/>
  </r>
  <r>
    <n v="1220"/>
    <s v="Amna Shoaib"/>
    <s v="Female"/>
    <s v="Grade 8"/>
    <x v="0"/>
    <n v="80000"/>
    <n v="0"/>
    <n v="15000"/>
    <n v="10000"/>
    <n v="5000"/>
    <n v="110000"/>
    <n v="1320000"/>
    <n v="1257557"/>
    <n v="62443"/>
  </r>
  <r>
    <n v="1221"/>
    <s v="Ryan Sheikh"/>
    <s v="Male"/>
    <s v="Grade 8"/>
    <x v="0"/>
    <n v="80000"/>
    <n v="0"/>
    <n v="15000"/>
    <n v="10000"/>
    <n v="5000"/>
    <n v="110000"/>
    <n v="1320000"/>
    <n v="203000"/>
    <n v="1117000"/>
  </r>
  <r>
    <n v="1222"/>
    <s v="Hina"/>
    <s v="Female"/>
    <s v="Grade 8"/>
    <x v="1"/>
    <n v="80000"/>
    <n v="10000"/>
    <n v="15000"/>
    <n v="10000"/>
    <n v="5000"/>
    <n v="120000"/>
    <n v="1440000"/>
    <n v="193344"/>
    <n v="1246656"/>
  </r>
  <r>
    <n v="1223"/>
    <s v="Anaya Malik"/>
    <s v="Female"/>
    <s v="Grade 8"/>
    <x v="1"/>
    <n v="80000"/>
    <n v="10000"/>
    <n v="15000"/>
    <n v="10000"/>
    <n v="5000"/>
    <n v="120000"/>
    <n v="1440000"/>
    <n v="290529"/>
    <n v="1149471"/>
  </r>
  <r>
    <n v="1224"/>
    <s v="Aqsa"/>
    <s v="Female"/>
    <s v="Grade 8"/>
    <x v="1"/>
    <n v="80000"/>
    <n v="10000"/>
    <n v="15000"/>
    <n v="10000"/>
    <n v="5000"/>
    <n v="120000"/>
    <n v="1440000"/>
    <n v="752860"/>
    <n v="687140"/>
  </r>
  <r>
    <n v="1225"/>
    <s v="Kevin Hussain"/>
    <s v="Male"/>
    <s v="Grade 8"/>
    <x v="0"/>
    <n v="80000"/>
    <n v="0"/>
    <n v="15000"/>
    <n v="10000"/>
    <n v="5000"/>
    <n v="110000"/>
    <n v="1320000"/>
    <n v="895207"/>
    <n v="424793"/>
  </r>
  <r>
    <n v="1226"/>
    <s v="Areeb"/>
    <s v="Male"/>
    <s v="Grade 8"/>
    <x v="0"/>
    <n v="80000"/>
    <n v="0"/>
    <n v="15000"/>
    <n v="10000"/>
    <n v="5000"/>
    <n v="110000"/>
    <n v="1320000"/>
    <n v="516921"/>
    <n v="803079"/>
  </r>
  <r>
    <n v="1227"/>
    <s v="Alina Shah"/>
    <s v="Female"/>
    <s v="Grade 8"/>
    <x v="1"/>
    <n v="80000"/>
    <n v="10000"/>
    <n v="15000"/>
    <n v="10000"/>
    <n v="5000"/>
    <n v="120000"/>
    <n v="1440000"/>
    <n v="203460"/>
    <n v="1236540"/>
  </r>
  <r>
    <n v="1228"/>
    <s v="Hammad"/>
    <s v="Male"/>
    <s v="Grade 8"/>
    <x v="0"/>
    <n v="80000"/>
    <n v="0"/>
    <n v="15000"/>
    <n v="10000"/>
    <n v="5000"/>
    <n v="110000"/>
    <n v="1320000"/>
    <n v="627559"/>
    <n v="692441"/>
  </r>
  <r>
    <n v="1229"/>
    <s v="Jason Raza"/>
    <s v="Male"/>
    <s v="Grade 8"/>
    <x v="0"/>
    <n v="80000"/>
    <n v="0"/>
    <n v="15000"/>
    <n v="10000"/>
    <n v="5000"/>
    <n v="110000"/>
    <n v="1320000"/>
    <n v="584402"/>
    <n v="735598"/>
  </r>
  <r>
    <n v="1230"/>
    <s v="Jannat Mirza"/>
    <s v="Female"/>
    <s v="Grade 8"/>
    <x v="1"/>
    <n v="80000"/>
    <n v="10000"/>
    <n v="15000"/>
    <n v="10000"/>
    <n v="5000"/>
    <n v="120000"/>
    <n v="1440000"/>
    <n v="655733"/>
    <n v="784267"/>
  </r>
  <r>
    <n v="1231"/>
    <s v="Emma Noor"/>
    <s v="Female"/>
    <s v="Grade 8"/>
    <x v="1"/>
    <n v="80000"/>
    <n v="10000"/>
    <n v="15000"/>
    <n v="10000"/>
    <n v="5000"/>
    <n v="120000"/>
    <n v="1440000"/>
    <n v="833077"/>
    <n v="606923"/>
  </r>
  <r>
    <n v="1232"/>
    <s v="Ayaz"/>
    <s v="Male"/>
    <s v="Grade 8"/>
    <x v="0"/>
    <n v="80000"/>
    <n v="0"/>
    <n v="15000"/>
    <n v="10000"/>
    <n v="5000"/>
    <n v="110000"/>
    <n v="1320000"/>
    <n v="957447"/>
    <n v="362553"/>
  </r>
  <r>
    <n v="1233"/>
    <s v="Hamdan Qureshi"/>
    <s v="Female"/>
    <s v="Grade 8"/>
    <x v="1"/>
    <n v="80000"/>
    <n v="10000"/>
    <n v="15000"/>
    <n v="10000"/>
    <n v="5000"/>
    <n v="120000"/>
    <n v="1440000"/>
    <n v="838013"/>
    <n v="601987"/>
  </r>
  <r>
    <n v="1234"/>
    <s v="Mayeda "/>
    <s v="Female"/>
    <s v="Grade 8"/>
    <x v="0"/>
    <n v="80000"/>
    <n v="0"/>
    <n v="15000"/>
    <n v="10000"/>
    <n v="5000"/>
    <n v="110000"/>
    <n v="1320000"/>
    <n v="558606"/>
    <n v="761394"/>
  </r>
  <r>
    <n v="1235"/>
    <s v="Sophia Iqbal"/>
    <s v="Female"/>
    <s v="Grade 9"/>
    <x v="1"/>
    <n v="85000"/>
    <n v="10000"/>
    <n v="15000"/>
    <n v="10000"/>
    <n v="5000"/>
    <n v="125000"/>
    <n v="1500000"/>
    <n v="1093664"/>
    <n v="406336"/>
  </r>
  <r>
    <n v="1236"/>
    <s v="Shiza"/>
    <s v="Female"/>
    <s v="Grade 9"/>
    <x v="0"/>
    <n v="85000"/>
    <n v="0"/>
    <n v="15000"/>
    <n v="10000"/>
    <n v="5000"/>
    <n v="115000"/>
    <n v="1380000"/>
    <n v="349910"/>
    <n v="1030090"/>
  </r>
  <r>
    <n v="1237"/>
    <s v="Zain Walker"/>
    <s v="Male"/>
    <s v="Grade 9"/>
    <x v="1"/>
    <n v="85000"/>
    <n v="10000"/>
    <n v="15000"/>
    <n v="10000"/>
    <n v="5000"/>
    <n v="125000"/>
    <n v="1500000"/>
    <n v="878632"/>
    <n v="621368"/>
  </r>
  <r>
    <n v="1238"/>
    <s v="Iffa"/>
    <s v="Female"/>
    <s v="Grade 9"/>
    <x v="0"/>
    <n v="85000"/>
    <n v="0"/>
    <n v="15000"/>
    <n v="10000"/>
    <n v="5000"/>
    <n v="115000"/>
    <n v="1380000"/>
    <n v="778531"/>
    <n v="601469"/>
  </r>
  <r>
    <n v="1239"/>
    <s v="Maria Siddiqui"/>
    <s v="Female"/>
    <s v="Grade 9"/>
    <x v="0"/>
    <n v="85000"/>
    <n v="0"/>
    <n v="15000"/>
    <n v="10000"/>
    <n v="5000"/>
    <n v="115000"/>
    <n v="1380000"/>
    <n v="622305"/>
    <n v="757695"/>
  </r>
  <r>
    <n v="1240"/>
    <s v="Ghania"/>
    <s v="Female"/>
    <s v="Grade 9"/>
    <x v="0"/>
    <n v="85000"/>
    <n v="0"/>
    <n v="15000"/>
    <n v="10000"/>
    <n v="5000"/>
    <n v="115000"/>
    <n v="1380000"/>
    <n v="611846"/>
    <n v="768154"/>
  </r>
  <r>
    <n v="1241"/>
    <s v="Oliver Akhtar"/>
    <s v="Female"/>
    <s v="Grade 9"/>
    <x v="0"/>
    <n v="85000"/>
    <n v="0"/>
    <n v="15000"/>
    <n v="10000"/>
    <n v="5000"/>
    <n v="115000"/>
    <n v="1380000"/>
    <n v="422473"/>
    <n v="957527"/>
  </r>
  <r>
    <n v="1242"/>
    <s v="Mehak"/>
    <s v="Female"/>
    <s v="Grade 9"/>
    <x v="0"/>
    <n v="85000"/>
    <n v="0"/>
    <n v="15000"/>
    <n v="10000"/>
    <n v="5000"/>
    <n v="115000"/>
    <n v="1380000"/>
    <n v="738240"/>
    <n v="641760"/>
  </r>
  <r>
    <n v="1243"/>
    <s v="Eliza Khan"/>
    <s v="Female"/>
    <s v="Grade 9"/>
    <x v="1"/>
    <n v="85000"/>
    <n v="10000"/>
    <n v="15000"/>
    <n v="10000"/>
    <n v="5000"/>
    <n v="125000"/>
    <n v="1500000"/>
    <n v="505912"/>
    <n v="994088"/>
  </r>
  <r>
    <n v="1244"/>
    <s v="Hanan"/>
    <s v="Male"/>
    <s v="Grade 9"/>
    <x v="0"/>
    <n v="85000"/>
    <n v="0"/>
    <n v="15000"/>
    <n v="10000"/>
    <n v="5000"/>
    <n v="115000"/>
    <n v="1380000"/>
    <n v="616963"/>
    <n v="763037"/>
  </r>
  <r>
    <n v="1245"/>
    <s v="Ibrahim Tariq"/>
    <s v="Male"/>
    <s v="Grade 9"/>
    <x v="0"/>
    <n v="85000"/>
    <n v="0"/>
    <n v="15000"/>
    <n v="10000"/>
    <n v="5000"/>
    <n v="115000"/>
    <n v="1380000"/>
    <n v="449553"/>
    <n v="930447"/>
  </r>
  <r>
    <n v="1246"/>
    <s v="Shaheen Afridi"/>
    <s v="Male"/>
    <s v="Grade 9"/>
    <x v="0"/>
    <n v="85000"/>
    <n v="0"/>
    <n v="15000"/>
    <n v="10000"/>
    <n v="5000"/>
    <n v="115000"/>
    <n v="1380000"/>
    <n v="755361"/>
    <n v="624639"/>
  </r>
  <r>
    <n v="1247"/>
    <s v="Areej Fatima"/>
    <s v="Female"/>
    <s v="Grade 9"/>
    <x v="1"/>
    <n v="85000"/>
    <n v="10000"/>
    <n v="15000"/>
    <n v="10000"/>
    <n v="5000"/>
    <n v="125000"/>
    <n v="1500000"/>
    <n v="699773"/>
    <n v="800227"/>
  </r>
  <r>
    <n v="1248"/>
    <s v="Babar Azam"/>
    <s v="Male"/>
    <s v="Grade 9"/>
    <x v="1"/>
    <n v="85000"/>
    <n v="10000"/>
    <n v="15000"/>
    <n v="10000"/>
    <n v="5000"/>
    <n v="125000"/>
    <n v="1500000"/>
    <n v="1392178"/>
    <n v="107822"/>
  </r>
  <r>
    <n v="1249"/>
    <s v="Noah Butt"/>
    <s v="Female"/>
    <s v="Grade 9"/>
    <x v="1"/>
    <n v="85000"/>
    <n v="10000"/>
    <n v="15000"/>
    <n v="10000"/>
    <n v="5000"/>
    <n v="125000"/>
    <n v="1500000"/>
    <n v="978502"/>
    <n v="521498"/>
  </r>
  <r>
    <n v="1250"/>
    <s v="Rizwan Haider"/>
    <s v="Male"/>
    <s v="Grade 9"/>
    <x v="1"/>
    <n v="85000"/>
    <n v="10000"/>
    <n v="15000"/>
    <n v="10000"/>
    <n v="5000"/>
    <n v="125000"/>
    <n v="1500000"/>
    <n v="802602"/>
    <n v="697398"/>
  </r>
  <r>
    <n v="1251"/>
    <s v="Lily Ahmed"/>
    <s v="Female"/>
    <s v="Grade 9"/>
    <x v="0"/>
    <n v="85000"/>
    <n v="0"/>
    <n v="15000"/>
    <n v="10000"/>
    <n v="5000"/>
    <n v="115000"/>
    <n v="1380000"/>
    <n v="664304"/>
    <n v="715696"/>
  </r>
  <r>
    <n v="1252"/>
    <s v="Shahid Afridi"/>
    <s v="Male"/>
    <s v="Grade 9"/>
    <x v="0"/>
    <n v="85000"/>
    <n v="0"/>
    <n v="15000"/>
    <n v="10000"/>
    <n v="5000"/>
    <n v="115000"/>
    <n v="1380000"/>
    <n v="798227"/>
    <n v="581773"/>
  </r>
  <r>
    <n v="1253"/>
    <s v="Rayyan Farooq"/>
    <s v="Male"/>
    <s v="Grade 10"/>
    <x v="1"/>
    <n v="90000"/>
    <n v="10000"/>
    <n v="15000"/>
    <n v="10000"/>
    <n v="5000"/>
    <n v="130000"/>
    <n v="1560000"/>
    <n v="528548"/>
    <n v="1031452"/>
  </r>
  <r>
    <n v="1254"/>
    <s v="Haris Rauf"/>
    <s v="Male"/>
    <s v="Grade 10"/>
    <x v="0"/>
    <n v="90000"/>
    <n v="0"/>
    <n v="15000"/>
    <n v="10000"/>
    <n v="5000"/>
    <n v="120000"/>
    <n v="1440000"/>
    <n v="159558"/>
    <n v="1280442"/>
  </r>
  <r>
    <n v="1255"/>
    <s v="Maham Noor"/>
    <s v="Female"/>
    <s v="Grade 10"/>
    <x v="0"/>
    <n v="90000"/>
    <n v="0"/>
    <n v="15000"/>
    <n v="10000"/>
    <n v="5000"/>
    <n v="120000"/>
    <n v="1440000"/>
    <n v="1042877"/>
    <n v="397123"/>
  </r>
  <r>
    <n v="1256"/>
    <s v="Kamyar"/>
    <s v="Male"/>
    <s v="Grade 10"/>
    <x v="1"/>
    <n v="90000"/>
    <n v="10000"/>
    <n v="15000"/>
    <n v="10000"/>
    <n v="5000"/>
    <n v="130000"/>
    <n v="1560000"/>
    <n v="1108742"/>
    <n v="451258"/>
  </r>
  <r>
    <n v="1257"/>
    <s v="Alex Hassan"/>
    <s v="Male"/>
    <s v="Grade 10"/>
    <x v="0"/>
    <n v="90000"/>
    <n v="0"/>
    <n v="15000"/>
    <n v="10000"/>
    <n v="5000"/>
    <n v="120000"/>
    <n v="1440000"/>
    <n v="1038955"/>
    <n v="401045"/>
  </r>
  <r>
    <n v="1258"/>
    <s v="Ayra"/>
    <s v="Female"/>
    <s v="Grade 10"/>
    <x v="1"/>
    <n v="90000"/>
    <n v="10000"/>
    <n v="15000"/>
    <n v="10000"/>
    <n v="5000"/>
    <n v="130000"/>
    <n v="1560000"/>
    <n v="379843"/>
    <n v="1180157"/>
  </r>
  <r>
    <n v="1259"/>
    <s v="Hana Ali"/>
    <s v="Female"/>
    <s v="Grade 10"/>
    <x v="0"/>
    <n v="90000"/>
    <n v="0"/>
    <n v="15000"/>
    <n v="10000"/>
    <n v="5000"/>
    <n v="120000"/>
    <n v="1440000"/>
    <n v="1198927"/>
    <n v="241073"/>
  </r>
  <r>
    <n v="1260"/>
    <s v="Furqn"/>
    <s v="Male"/>
    <s v="Grade 10"/>
    <x v="0"/>
    <n v="90000"/>
    <n v="0"/>
    <n v="15000"/>
    <n v="10000"/>
    <n v="5000"/>
    <n v="120000"/>
    <n v="1440000"/>
    <n v="617477"/>
    <n v="822523"/>
  </r>
  <r>
    <n v="1261"/>
    <s v="Ethan Mehmood"/>
    <s v="Male"/>
    <s v="Grade 10"/>
    <x v="0"/>
    <n v="90000"/>
    <n v="0"/>
    <n v="15000"/>
    <n v="10000"/>
    <n v="5000"/>
    <n v="120000"/>
    <n v="1440000"/>
    <n v="196332"/>
    <n v="1243668"/>
  </r>
  <r>
    <n v="1262"/>
    <s v="Farukh"/>
    <s v="Male"/>
    <s v="Grade 10"/>
    <x v="1"/>
    <n v="90000"/>
    <n v="10000"/>
    <n v="15000"/>
    <n v="10000"/>
    <n v="5000"/>
    <n v="130000"/>
    <n v="1560000"/>
    <n v="256482"/>
    <n v="1303518"/>
  </r>
  <r>
    <n v="1263"/>
    <s v="Zara Collins"/>
    <s v="Female"/>
    <s v="Grade 10"/>
    <x v="1"/>
    <n v="90000"/>
    <n v="10000"/>
    <n v="15000"/>
    <n v="10000"/>
    <n v="5000"/>
    <n v="130000"/>
    <n v="1560000"/>
    <n v="1067095"/>
    <n v="492905"/>
  </r>
  <r>
    <n v="1264"/>
    <s v="Hamza"/>
    <s v="Male"/>
    <s v="Grade 10"/>
    <x v="1"/>
    <n v="90000"/>
    <n v="10000"/>
    <n v="15000"/>
    <n v="10000"/>
    <n v="5000"/>
    <n v="130000"/>
    <n v="1560000"/>
    <n v="476949"/>
    <n v="1083051"/>
  </r>
  <r>
    <n v="1265"/>
    <s v="Saif Ahmed"/>
    <s v="Male"/>
    <s v="Grade 10"/>
    <x v="1"/>
    <n v="90000"/>
    <n v="10000"/>
    <n v="15000"/>
    <n v="10000"/>
    <n v="5000"/>
    <n v="130000"/>
    <n v="1560000"/>
    <n v="295667"/>
    <n v="1264333"/>
  </r>
  <r>
    <n v="1266"/>
    <s v="Haroon Rasheed"/>
    <s v="Male"/>
    <s v="Grade 10"/>
    <x v="0"/>
    <n v="90000"/>
    <n v="0"/>
    <n v="15000"/>
    <n v="10000"/>
    <n v="5000"/>
    <n v="120000"/>
    <n v="1440000"/>
    <n v="153147"/>
    <n v="1286853"/>
  </r>
  <r>
    <n v="1267"/>
    <s v="Noor Javed"/>
    <s v="Female"/>
    <s v="Grade 10"/>
    <x v="0"/>
    <n v="90000"/>
    <n v="0"/>
    <n v="15000"/>
    <n v="10000"/>
    <n v="5000"/>
    <n v="120000"/>
    <n v="1440000"/>
    <n v="457851"/>
    <n v="982149"/>
  </r>
  <r>
    <n v="1268"/>
    <s v="Faiza Ahmad "/>
    <s v="Female"/>
    <s v="Grade 10"/>
    <x v="0"/>
    <n v="90000"/>
    <n v="0"/>
    <n v="15000"/>
    <n v="10000"/>
    <n v="5000"/>
    <n v="120000"/>
    <n v="1440000"/>
    <n v="789252"/>
    <n v="650748"/>
  </r>
  <r>
    <n v="1269"/>
    <s v="Owen Rashid"/>
    <s v="Female"/>
    <s v="Grade 10"/>
    <x v="0"/>
    <n v="90000"/>
    <n v="0"/>
    <n v="15000"/>
    <n v="10000"/>
    <n v="5000"/>
    <n v="120000"/>
    <n v="1440000"/>
    <n v="364902"/>
    <n v="1075098"/>
  </r>
  <r>
    <n v="1270"/>
    <s v="Mehwish Khan"/>
    <s v="Female"/>
    <s v="Grade 10"/>
    <x v="1"/>
    <n v="90000"/>
    <n v="10000"/>
    <n v="15000"/>
    <n v="10000"/>
    <n v="5000"/>
    <n v="130000"/>
    <n v="1560000"/>
    <n v="427676"/>
    <n v="1132324"/>
  </r>
  <r>
    <n v="1271"/>
    <s v="Sara Ali "/>
    <s v="Female"/>
    <s v="Grade 5"/>
    <x v="0"/>
    <n v="65000"/>
    <n v="0"/>
    <n v="15000"/>
    <n v="10000"/>
    <n v="5000"/>
    <n v="95000"/>
    <n v="1140000"/>
    <n v="461889"/>
    <n v="678111"/>
  </r>
  <r>
    <n v="1272"/>
    <s v="Maham "/>
    <s v="Female"/>
    <s v="Grade 6"/>
    <x v="0"/>
    <n v="70000"/>
    <n v="0"/>
    <n v="15000"/>
    <n v="10000"/>
    <n v="5000"/>
    <n v="100000"/>
    <n v="1200000"/>
    <n v="882808"/>
    <n v="317192"/>
  </r>
  <r>
    <n v="1273"/>
    <s v="Hadia"/>
    <s v="Female"/>
    <s v="Grade 9"/>
    <x v="1"/>
    <n v="85000"/>
    <n v="10000"/>
    <n v="15000"/>
    <n v="10000"/>
    <n v="5000"/>
    <n v="125000"/>
    <n v="1500000"/>
    <n v="953312"/>
    <n v="546688"/>
  </r>
  <r>
    <n v="1274"/>
    <s v="Hiba "/>
    <s v="Female"/>
    <s v="Grade 10"/>
    <x v="0"/>
    <n v="90000"/>
    <n v="0"/>
    <n v="15000"/>
    <n v="10000"/>
    <n v="5000"/>
    <n v="120000"/>
    <n v="1440000"/>
    <n v="351813"/>
    <n v="1088187"/>
  </r>
  <r>
    <n v="1275"/>
    <s v="Ramla"/>
    <s v="Female"/>
    <s v="Grade 1"/>
    <x v="0"/>
    <n v="45000"/>
    <n v="0"/>
    <n v="15000"/>
    <n v="10000"/>
    <n v="5000"/>
    <n v="75000"/>
    <n v="900000"/>
    <n v="178864"/>
    <n v="721136"/>
  </r>
  <r>
    <n v="1276"/>
    <s v="Aneeqa"/>
    <s v="Female"/>
    <s v="Grade 8"/>
    <x v="1"/>
    <n v="80000"/>
    <n v="10000"/>
    <n v="15000"/>
    <n v="10000"/>
    <n v="5000"/>
    <n v="120000"/>
    <n v="1440000"/>
    <n v="612803"/>
    <n v="827197"/>
  </r>
  <r>
    <n v="1277"/>
    <s v="Smith"/>
    <s v="Male"/>
    <s v="Grade 4"/>
    <x v="1"/>
    <n v="60000"/>
    <n v="10000"/>
    <n v="15000"/>
    <n v="10000"/>
    <n v="5000"/>
    <n v="100000"/>
    <n v="1200000"/>
    <n v="454293"/>
    <n v="745707"/>
  </r>
  <r>
    <n v="1278"/>
    <s v="Ronaldo"/>
    <s v="Male"/>
    <s v="A' Level"/>
    <x v="0"/>
    <n v="120000"/>
    <n v="0"/>
    <n v="20000"/>
    <n v="10000"/>
    <n v="10000"/>
    <n v="160000"/>
    <n v="1920000"/>
    <n v="388687"/>
    <n v="1531313"/>
  </r>
  <r>
    <n v="1279"/>
    <s v="Messi"/>
    <s v="Male"/>
    <s v="O' Level"/>
    <x v="1"/>
    <n v="150000"/>
    <n v="10000"/>
    <n v="25000"/>
    <n v="10000"/>
    <n v="15000"/>
    <n v="210000"/>
    <n v="2520000"/>
    <n v="1033836"/>
    <n v="1486164"/>
  </r>
  <r>
    <n v="1280"/>
    <s v="Naseem"/>
    <s v="Male"/>
    <s v="Grade 2"/>
    <x v="0"/>
    <n v="50000"/>
    <n v="0"/>
    <n v="15000"/>
    <n v="10000"/>
    <n v="5000"/>
    <n v="80000"/>
    <n v="960000"/>
    <n v="554453"/>
    <n v="405547"/>
  </r>
  <r>
    <n v="1290"/>
    <s v="Naseema"/>
    <s v="Female"/>
    <s v="Playgroup"/>
    <x v="1"/>
    <n v="30000"/>
    <n v="10000"/>
    <n v="15000"/>
    <n v="10000"/>
    <n v="5000"/>
    <n v="70000"/>
    <n v="840000"/>
    <n v="113233"/>
    <n v="7267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3BC61-040B-42A5-80E5-7B110700A40C}" name="PivotTable2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B329:C331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Count of TRANSPORT USE" fld="4" subtotal="count" baseField="0" baseItem="0"/>
  </dataFields>
  <formats count="9">
    <format dxfId="8">
      <pivotArea field="4" type="button" dataOnly="0" labelOnly="1" outline="0" axis="axisRow" fieldPosition="0"/>
    </format>
    <format dxfId="7">
      <pivotArea field="4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" count="0"/>
        </references>
      </pivotArea>
    </format>
    <format dxfId="2">
      <pivotArea dataOnly="0" labelOnly="1" outline="0" fieldPosition="0">
        <references count="1">
          <reference field="4" count="0"/>
        </references>
      </pivotArea>
    </format>
    <format dxfId="1">
      <pivotArea outline="0" collapsedLevelsAreSubtotals="1" fieldPosition="0"/>
    </format>
    <format dxfId="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BEFD8-4780-47F9-9FFC-E093029931D9}" name="PivotTable1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B310:C312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unt of GENDER" fld="2" subtotal="count" baseField="0" baseItem="0"/>
  </dataFields>
  <formats count="9">
    <format dxfId="17">
      <pivotArea dataOnly="0" labelOnly="1" outline="0" fieldPosition="0">
        <references count="1">
          <reference field="2" count="1">
            <x v="0"/>
          </reference>
        </references>
      </pivotArea>
    </format>
    <format dxfId="16">
      <pivotArea dataOnly="0" labelOnly="1" outline="0" fieldPosition="0">
        <references count="1">
          <reference field="2" count="1">
            <x v="0"/>
          </reference>
        </references>
      </pivotArea>
    </format>
    <format dxfId="15">
      <pivotArea dataOnly="0" labelOnly="1" outline="0" fieldPosition="0">
        <references count="1">
          <reference field="2" count="1">
            <x v="1"/>
          </reference>
        </references>
      </pivotArea>
    </format>
    <format dxfId="14">
      <pivotArea dataOnly="0" labelOnly="1" outline="0" fieldPosition="0">
        <references count="1">
          <reference field="2" count="1">
            <x v="1"/>
          </reference>
        </references>
      </pivotArea>
    </format>
    <format dxfId="13">
      <pivotArea outline="0" fieldPosition="0">
        <references count="1">
          <reference field="2" count="1" selected="0">
            <x v="0"/>
          </reference>
        </references>
      </pivotArea>
    </format>
    <format dxfId="12">
      <pivotArea outline="0" fieldPosition="0">
        <references count="1">
          <reference field="2" count="1" selected="0">
            <x v="1"/>
          </reference>
        </references>
      </pivotArea>
    </format>
    <format dxfId="11">
      <pivotArea field="2" type="button" dataOnly="0" labelOnly="1" outline="0" axis="axisRow" fieldPosition="0"/>
    </format>
    <format dxfId="10">
      <pivotArea outline="0" fieldPosition="0">
        <references count="1">
          <reference field="2" count="1" selected="0">
            <x v="0"/>
          </reference>
        </references>
      </pivotArea>
    </format>
    <format dxfId="9">
      <pivotArea outline="0" fieldPosition="0">
        <references count="1">
          <reference field="2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3C60-FB8A-44BE-8B9E-9593E02F8538}">
  <dimension ref="A1:U427"/>
  <sheetViews>
    <sheetView tabSelected="1" topLeftCell="A394" zoomScale="61" zoomScaleNormal="70" workbookViewId="0">
      <selection activeCell="A426" sqref="A426:B427"/>
    </sheetView>
  </sheetViews>
  <sheetFormatPr defaultRowHeight="14.4" x14ac:dyDescent="0.3"/>
  <cols>
    <col min="1" max="1" width="20.5546875" customWidth="1"/>
    <col min="2" max="2" width="23.44140625" customWidth="1"/>
    <col min="3" max="3" width="18.33203125" customWidth="1"/>
    <col min="4" max="4" width="21.44140625" customWidth="1"/>
    <col min="5" max="5" width="22.6640625" customWidth="1"/>
    <col min="6" max="6" width="20.5546875" customWidth="1"/>
    <col min="7" max="7" width="21.109375" customWidth="1"/>
    <col min="8" max="8" width="24" customWidth="1"/>
    <col min="9" max="9" width="24.6640625" customWidth="1"/>
    <col min="10" max="10" width="23.77734375" customWidth="1"/>
    <col min="11" max="11" width="16.6640625" customWidth="1"/>
    <col min="12" max="12" width="17.33203125" customWidth="1"/>
    <col min="13" max="13" width="19.44140625" customWidth="1"/>
    <col min="14" max="14" width="19" customWidth="1"/>
  </cols>
  <sheetData>
    <row r="1" spans="1:9" ht="25.2" customHeight="1" thickBot="1" x14ac:dyDescent="0.35">
      <c r="A1" s="1" t="s">
        <v>0</v>
      </c>
      <c r="B1" s="2" t="s">
        <v>16</v>
      </c>
      <c r="C1" s="3" t="s">
        <v>17</v>
      </c>
      <c r="D1" s="3" t="s">
        <v>18</v>
      </c>
      <c r="E1" s="2" t="s">
        <v>19</v>
      </c>
      <c r="F1" s="2" t="s">
        <v>20</v>
      </c>
      <c r="G1" s="2" t="s">
        <v>21</v>
      </c>
      <c r="H1" s="2" t="s">
        <v>311</v>
      </c>
      <c r="I1" s="2" t="s">
        <v>22</v>
      </c>
    </row>
    <row r="2" spans="1:9" ht="19.8" customHeight="1" thickBot="1" x14ac:dyDescent="0.35">
      <c r="A2" s="4" t="s">
        <v>1</v>
      </c>
      <c r="B2" s="5">
        <v>30000</v>
      </c>
      <c r="C2" s="5">
        <v>15000</v>
      </c>
      <c r="D2" s="5">
        <v>5000</v>
      </c>
      <c r="E2" s="5">
        <v>10000</v>
      </c>
      <c r="F2" s="5">
        <v>5000</v>
      </c>
      <c r="G2" s="5">
        <v>6000</v>
      </c>
      <c r="H2" s="6">
        <v>10000</v>
      </c>
      <c r="I2" s="6">
        <f>SUM(B2:H2)</f>
        <v>81000</v>
      </c>
    </row>
    <row r="3" spans="1:9" ht="17.399999999999999" customHeight="1" thickBot="1" x14ac:dyDescent="0.35">
      <c r="A3" s="4" t="s">
        <v>2</v>
      </c>
      <c r="B3" s="7">
        <v>35000</v>
      </c>
      <c r="C3" s="5">
        <v>15000</v>
      </c>
      <c r="D3" s="5">
        <v>5000</v>
      </c>
      <c r="E3" s="5">
        <v>10000</v>
      </c>
      <c r="F3" s="5">
        <v>6500</v>
      </c>
      <c r="G3" s="5">
        <v>6000</v>
      </c>
      <c r="H3" s="6">
        <v>10000</v>
      </c>
      <c r="I3" s="6">
        <f t="shared" ref="I3:I16" si="0">SUM(B3:H3)</f>
        <v>87500</v>
      </c>
    </row>
    <row r="4" spans="1:9" ht="20.399999999999999" customHeight="1" thickBot="1" x14ac:dyDescent="0.35">
      <c r="A4" s="4" t="s">
        <v>3</v>
      </c>
      <c r="B4" s="5">
        <v>40000</v>
      </c>
      <c r="C4" s="5">
        <v>15000</v>
      </c>
      <c r="D4" s="5">
        <v>5000</v>
      </c>
      <c r="E4" s="5">
        <v>10000</v>
      </c>
      <c r="F4" s="5">
        <v>8000</v>
      </c>
      <c r="G4" s="5">
        <v>6000</v>
      </c>
      <c r="H4" s="6">
        <v>10000</v>
      </c>
      <c r="I4" s="6">
        <f t="shared" si="0"/>
        <v>94000</v>
      </c>
    </row>
    <row r="5" spans="1:9" ht="19.8" customHeight="1" thickBot="1" x14ac:dyDescent="0.35">
      <c r="A5" s="4" t="s">
        <v>4</v>
      </c>
      <c r="B5" s="5">
        <v>45000</v>
      </c>
      <c r="C5" s="5">
        <v>15000</v>
      </c>
      <c r="D5" s="5">
        <v>5000</v>
      </c>
      <c r="E5" s="5">
        <v>10000</v>
      </c>
      <c r="F5" s="5">
        <v>10000</v>
      </c>
      <c r="G5" s="5">
        <v>8000</v>
      </c>
      <c r="H5" s="6">
        <v>10000</v>
      </c>
      <c r="I5" s="6">
        <f t="shared" si="0"/>
        <v>103000</v>
      </c>
    </row>
    <row r="6" spans="1:9" ht="17.399999999999999" customHeight="1" thickBot="1" x14ac:dyDescent="0.35">
      <c r="A6" s="4" t="s">
        <v>5</v>
      </c>
      <c r="B6" s="5">
        <v>50000</v>
      </c>
      <c r="C6" s="5">
        <v>15000</v>
      </c>
      <c r="D6" s="5">
        <v>5000</v>
      </c>
      <c r="E6" s="5">
        <v>10000</v>
      </c>
      <c r="F6" s="5">
        <v>10000</v>
      </c>
      <c r="G6" s="5">
        <v>8000</v>
      </c>
      <c r="H6" s="6">
        <v>10000</v>
      </c>
      <c r="I6" s="6">
        <f t="shared" si="0"/>
        <v>108000</v>
      </c>
    </row>
    <row r="7" spans="1:9" ht="15.6" customHeight="1" thickBot="1" x14ac:dyDescent="0.35">
      <c r="A7" s="4" t="s">
        <v>6</v>
      </c>
      <c r="B7" s="5">
        <v>55000</v>
      </c>
      <c r="C7" s="5">
        <v>15000</v>
      </c>
      <c r="D7" s="5">
        <v>5000</v>
      </c>
      <c r="E7" s="5">
        <v>10000</v>
      </c>
      <c r="F7" s="5">
        <v>10000</v>
      </c>
      <c r="G7" s="5">
        <v>8000</v>
      </c>
      <c r="H7" s="6">
        <v>10000</v>
      </c>
      <c r="I7" s="6">
        <f t="shared" si="0"/>
        <v>113000</v>
      </c>
    </row>
    <row r="8" spans="1:9" ht="16.2" thickBot="1" x14ac:dyDescent="0.35">
      <c r="A8" s="4" t="s">
        <v>7</v>
      </c>
      <c r="B8" s="5">
        <v>60000</v>
      </c>
      <c r="C8" s="5">
        <v>15000</v>
      </c>
      <c r="D8" s="5">
        <v>5000</v>
      </c>
      <c r="E8" s="5">
        <v>10000</v>
      </c>
      <c r="F8" s="5">
        <v>10000</v>
      </c>
      <c r="G8" s="5">
        <v>8000</v>
      </c>
      <c r="H8" s="6">
        <v>10000</v>
      </c>
      <c r="I8" s="6">
        <f t="shared" si="0"/>
        <v>118000</v>
      </c>
    </row>
    <row r="9" spans="1:9" ht="16.2" thickBot="1" x14ac:dyDescent="0.35">
      <c r="A9" s="4" t="s">
        <v>8</v>
      </c>
      <c r="B9" s="5">
        <v>65000</v>
      </c>
      <c r="C9" s="5">
        <v>15000</v>
      </c>
      <c r="D9" s="5">
        <v>5000</v>
      </c>
      <c r="E9" s="5">
        <v>10000</v>
      </c>
      <c r="F9" s="5">
        <v>10000</v>
      </c>
      <c r="G9" s="5">
        <v>8000</v>
      </c>
      <c r="H9" s="6">
        <v>10000</v>
      </c>
      <c r="I9" s="6">
        <f t="shared" si="0"/>
        <v>123000</v>
      </c>
    </row>
    <row r="10" spans="1:9" ht="16.2" thickBot="1" x14ac:dyDescent="0.35">
      <c r="A10" s="4" t="s">
        <v>9</v>
      </c>
      <c r="B10" s="5">
        <v>70000</v>
      </c>
      <c r="C10" s="5">
        <v>15000</v>
      </c>
      <c r="D10" s="5">
        <v>5000</v>
      </c>
      <c r="E10" s="5">
        <v>10000</v>
      </c>
      <c r="F10" s="5">
        <v>12000</v>
      </c>
      <c r="G10" s="5">
        <v>10000</v>
      </c>
      <c r="H10" s="6">
        <v>10000</v>
      </c>
      <c r="I10" s="6">
        <f t="shared" si="0"/>
        <v>132000</v>
      </c>
    </row>
    <row r="11" spans="1:9" ht="16.2" thickBot="1" x14ac:dyDescent="0.35">
      <c r="A11" s="4" t="s">
        <v>10</v>
      </c>
      <c r="B11" s="5">
        <v>75000</v>
      </c>
      <c r="C11" s="5">
        <v>15000</v>
      </c>
      <c r="D11" s="5">
        <v>5000</v>
      </c>
      <c r="E11" s="5">
        <v>10000</v>
      </c>
      <c r="F11" s="5">
        <v>12000</v>
      </c>
      <c r="G11" s="5">
        <v>10000</v>
      </c>
      <c r="H11" s="6">
        <v>10000</v>
      </c>
      <c r="I11" s="6">
        <f t="shared" si="0"/>
        <v>137000</v>
      </c>
    </row>
    <row r="12" spans="1:9" ht="16.2" thickBot="1" x14ac:dyDescent="0.35">
      <c r="A12" s="4" t="s">
        <v>11</v>
      </c>
      <c r="B12" s="5">
        <v>80000</v>
      </c>
      <c r="C12" s="5">
        <v>15000</v>
      </c>
      <c r="D12" s="5">
        <v>5000</v>
      </c>
      <c r="E12" s="5">
        <v>10000</v>
      </c>
      <c r="F12" s="5">
        <v>12000</v>
      </c>
      <c r="G12" s="5">
        <v>10000</v>
      </c>
      <c r="H12" s="6">
        <v>10000</v>
      </c>
      <c r="I12" s="6">
        <f t="shared" si="0"/>
        <v>142000</v>
      </c>
    </row>
    <row r="13" spans="1:9" ht="16.2" thickBot="1" x14ac:dyDescent="0.35">
      <c r="A13" s="4" t="s">
        <v>12</v>
      </c>
      <c r="B13" s="5">
        <v>85000</v>
      </c>
      <c r="C13" s="5">
        <v>15000</v>
      </c>
      <c r="D13" s="5">
        <v>5000</v>
      </c>
      <c r="E13" s="5">
        <v>10000</v>
      </c>
      <c r="F13" s="5">
        <v>13500</v>
      </c>
      <c r="G13" s="5">
        <v>10000</v>
      </c>
      <c r="H13" s="6">
        <v>10000</v>
      </c>
      <c r="I13" s="6">
        <f t="shared" si="0"/>
        <v>148500</v>
      </c>
    </row>
    <row r="14" spans="1:9" ht="16.2" thickBot="1" x14ac:dyDescent="0.35">
      <c r="A14" s="4" t="s">
        <v>13</v>
      </c>
      <c r="B14" s="5">
        <v>90000</v>
      </c>
      <c r="C14" s="5">
        <v>15000</v>
      </c>
      <c r="D14" s="5">
        <v>5000</v>
      </c>
      <c r="E14" s="5">
        <v>10000</v>
      </c>
      <c r="F14" s="5">
        <v>13500</v>
      </c>
      <c r="G14" s="5">
        <v>10000</v>
      </c>
      <c r="H14" s="6">
        <v>10000</v>
      </c>
      <c r="I14" s="6">
        <f t="shared" si="0"/>
        <v>153500</v>
      </c>
    </row>
    <row r="15" spans="1:9" ht="16.2" thickBot="1" x14ac:dyDescent="0.35">
      <c r="A15" s="4" t="s">
        <v>14</v>
      </c>
      <c r="B15" s="5">
        <v>120000</v>
      </c>
      <c r="C15" s="5">
        <v>20000</v>
      </c>
      <c r="D15" s="5">
        <v>10000</v>
      </c>
      <c r="E15" s="5">
        <v>10000</v>
      </c>
      <c r="F15" s="5">
        <v>18000</v>
      </c>
      <c r="G15" s="5">
        <v>10000</v>
      </c>
      <c r="H15" s="6">
        <v>10000</v>
      </c>
      <c r="I15" s="6">
        <f t="shared" si="0"/>
        <v>198000</v>
      </c>
    </row>
    <row r="16" spans="1:9" ht="16.2" thickBot="1" x14ac:dyDescent="0.35">
      <c r="A16" s="4" t="s">
        <v>15</v>
      </c>
      <c r="B16" s="5">
        <v>150000</v>
      </c>
      <c r="C16" s="5">
        <v>25000</v>
      </c>
      <c r="D16" s="5">
        <v>15000</v>
      </c>
      <c r="E16" s="5">
        <v>10000</v>
      </c>
      <c r="F16" s="5">
        <v>18000</v>
      </c>
      <c r="G16" s="5">
        <v>10000</v>
      </c>
      <c r="H16" s="6">
        <v>10000</v>
      </c>
      <c r="I16" s="6">
        <f t="shared" si="0"/>
        <v>238000</v>
      </c>
    </row>
    <row r="19" spans="1:17" ht="28.8" customHeight="1" x14ac:dyDescent="0.3">
      <c r="A19" s="26" t="s">
        <v>23</v>
      </c>
      <c r="B19" s="26"/>
      <c r="C19" s="26"/>
      <c r="D19" s="26"/>
      <c r="E19" s="26"/>
      <c r="F19" s="26"/>
      <c r="G19" s="26"/>
      <c r="H19" s="26"/>
    </row>
    <row r="20" spans="1:17" ht="28.2" customHeight="1" x14ac:dyDescent="0.3">
      <c r="A20" s="17" t="s">
        <v>76</v>
      </c>
      <c r="B20" s="17" t="s">
        <v>24</v>
      </c>
      <c r="C20" s="17" t="s">
        <v>294</v>
      </c>
      <c r="D20" s="17" t="s">
        <v>25</v>
      </c>
      <c r="E20" s="17" t="s">
        <v>293</v>
      </c>
      <c r="F20" s="17" t="s">
        <v>16</v>
      </c>
      <c r="G20" s="17" t="s">
        <v>295</v>
      </c>
      <c r="H20" s="17" t="s">
        <v>296</v>
      </c>
      <c r="I20" s="17" t="s">
        <v>312</v>
      </c>
      <c r="J20" s="17" t="s">
        <v>310</v>
      </c>
      <c r="K20" s="17" t="s">
        <v>313</v>
      </c>
      <c r="L20" s="17" t="s">
        <v>314</v>
      </c>
      <c r="M20" s="17" t="s">
        <v>315</v>
      </c>
      <c r="N20" s="17" t="s">
        <v>316</v>
      </c>
    </row>
    <row r="21" spans="1:17" ht="19.2" customHeight="1" x14ac:dyDescent="0.4">
      <c r="A21" s="18">
        <v>1001</v>
      </c>
      <c r="B21" s="19" t="s">
        <v>26</v>
      </c>
      <c r="C21" s="20" t="s">
        <v>289</v>
      </c>
      <c r="D21" s="21" t="s">
        <v>321</v>
      </c>
      <c r="E21" s="20" t="s">
        <v>291</v>
      </c>
      <c r="F21" s="20">
        <v>150000</v>
      </c>
      <c r="G21" s="20">
        <v>0</v>
      </c>
      <c r="H21" s="20">
        <v>25000</v>
      </c>
      <c r="I21" s="20">
        <v>10000</v>
      </c>
      <c r="J21" s="20">
        <v>15000</v>
      </c>
      <c r="K21" s="20">
        <f>SUM(F21:J21)</f>
        <v>200000</v>
      </c>
      <c r="L21" s="20">
        <f>SUM(K21)*12</f>
        <v>2400000</v>
      </c>
      <c r="M21" s="20">
        <v>1000000</v>
      </c>
      <c r="N21" s="20">
        <f>L21-M21</f>
        <v>1400000</v>
      </c>
    </row>
    <row r="22" spans="1:17" ht="18" customHeight="1" x14ac:dyDescent="0.4">
      <c r="A22" s="18">
        <v>1002</v>
      </c>
      <c r="B22" s="19" t="s">
        <v>27</v>
      </c>
      <c r="C22" s="20" t="s">
        <v>289</v>
      </c>
      <c r="D22" s="21" t="s">
        <v>321</v>
      </c>
      <c r="E22" s="20" t="s">
        <v>292</v>
      </c>
      <c r="F22" s="20">
        <v>150000</v>
      </c>
      <c r="G22" s="20">
        <v>10000</v>
      </c>
      <c r="H22" s="20">
        <v>25000</v>
      </c>
      <c r="I22" s="20">
        <v>10000</v>
      </c>
      <c r="J22" s="20">
        <v>15000</v>
      </c>
      <c r="K22" s="20">
        <f t="shared" ref="K22:K85" si="1">SUM(F22:J22)</f>
        <v>210000</v>
      </c>
      <c r="L22" s="20">
        <f t="shared" ref="L22:L85" si="2">SUM(K22)*12</f>
        <v>2520000</v>
      </c>
      <c r="M22" s="20">
        <v>2000000</v>
      </c>
      <c r="N22" s="20">
        <f t="shared" ref="N22:N85" si="3">L22-M22</f>
        <v>520000</v>
      </c>
    </row>
    <row r="23" spans="1:17" ht="19.8" customHeight="1" x14ac:dyDescent="0.4">
      <c r="A23" s="18">
        <v>1003</v>
      </c>
      <c r="B23" s="19" t="s">
        <v>28</v>
      </c>
      <c r="C23" s="20" t="s">
        <v>289</v>
      </c>
      <c r="D23" s="21" t="s">
        <v>321</v>
      </c>
      <c r="E23" s="20" t="s">
        <v>291</v>
      </c>
      <c r="F23" s="20">
        <v>150000</v>
      </c>
      <c r="G23" s="20">
        <v>0</v>
      </c>
      <c r="H23" s="20">
        <v>25000</v>
      </c>
      <c r="I23" s="20">
        <v>10000</v>
      </c>
      <c r="J23" s="20">
        <v>15000</v>
      </c>
      <c r="K23" s="20">
        <f t="shared" si="1"/>
        <v>200000</v>
      </c>
      <c r="L23" s="20">
        <f t="shared" si="2"/>
        <v>2400000</v>
      </c>
      <c r="M23" s="20">
        <v>1500000</v>
      </c>
      <c r="N23" s="20">
        <f t="shared" si="3"/>
        <v>900000</v>
      </c>
    </row>
    <row r="24" spans="1:17" ht="18" customHeight="1" x14ac:dyDescent="0.4">
      <c r="A24" s="18">
        <v>1004</v>
      </c>
      <c r="B24" s="19" t="s">
        <v>29</v>
      </c>
      <c r="C24" s="20" t="s">
        <v>289</v>
      </c>
      <c r="D24" s="21" t="s">
        <v>321</v>
      </c>
      <c r="E24" s="20" t="s">
        <v>292</v>
      </c>
      <c r="F24" s="20">
        <v>150000</v>
      </c>
      <c r="G24" s="20">
        <v>10000</v>
      </c>
      <c r="H24" s="20">
        <v>25000</v>
      </c>
      <c r="I24" s="20">
        <v>10000</v>
      </c>
      <c r="J24" s="20">
        <v>15000</v>
      </c>
      <c r="K24" s="20">
        <f t="shared" si="1"/>
        <v>210000</v>
      </c>
      <c r="L24" s="20">
        <f t="shared" si="2"/>
        <v>2520000</v>
      </c>
      <c r="M24" s="20">
        <v>500000</v>
      </c>
      <c r="N24" s="20">
        <f t="shared" si="3"/>
        <v>2020000</v>
      </c>
    </row>
    <row r="25" spans="1:17" ht="19.2" customHeight="1" x14ac:dyDescent="0.4">
      <c r="A25" s="18">
        <v>1005</v>
      </c>
      <c r="B25" s="19" t="s">
        <v>30</v>
      </c>
      <c r="C25" s="20" t="s">
        <v>289</v>
      </c>
      <c r="D25" s="21" t="s">
        <v>321</v>
      </c>
      <c r="E25" s="20" t="s">
        <v>292</v>
      </c>
      <c r="F25" s="20">
        <v>150000</v>
      </c>
      <c r="G25" s="20">
        <v>10000</v>
      </c>
      <c r="H25" s="20">
        <v>25000</v>
      </c>
      <c r="I25" s="20">
        <v>10000</v>
      </c>
      <c r="J25" s="20">
        <v>15000</v>
      </c>
      <c r="K25" s="20">
        <f t="shared" si="1"/>
        <v>210000</v>
      </c>
      <c r="L25" s="20">
        <f t="shared" si="2"/>
        <v>2520000</v>
      </c>
      <c r="M25" s="20">
        <v>100000</v>
      </c>
      <c r="N25" s="20">
        <f t="shared" si="3"/>
        <v>2420000</v>
      </c>
      <c r="Q25" s="8"/>
    </row>
    <row r="26" spans="1:17" ht="17.399999999999999" customHeight="1" x14ac:dyDescent="0.4">
      <c r="A26" s="18">
        <v>1006</v>
      </c>
      <c r="B26" s="19" t="s">
        <v>31</v>
      </c>
      <c r="C26" s="20" t="s">
        <v>289</v>
      </c>
      <c r="D26" s="21" t="s">
        <v>321</v>
      </c>
      <c r="E26" s="20" t="s">
        <v>291</v>
      </c>
      <c r="F26" s="20">
        <v>150000</v>
      </c>
      <c r="G26" s="20">
        <v>0</v>
      </c>
      <c r="H26" s="20">
        <v>25000</v>
      </c>
      <c r="I26" s="20">
        <v>10000</v>
      </c>
      <c r="J26" s="20">
        <v>15000</v>
      </c>
      <c r="K26" s="20">
        <f t="shared" si="1"/>
        <v>200000</v>
      </c>
      <c r="L26" s="20">
        <f t="shared" si="2"/>
        <v>2400000</v>
      </c>
      <c r="M26" s="20">
        <v>1950000</v>
      </c>
      <c r="N26" s="20">
        <f t="shared" si="3"/>
        <v>450000</v>
      </c>
    </row>
    <row r="27" spans="1:17" ht="15" customHeight="1" x14ac:dyDescent="0.4">
      <c r="A27" s="18">
        <v>1007</v>
      </c>
      <c r="B27" s="19" t="s">
        <v>32</v>
      </c>
      <c r="C27" s="20" t="s">
        <v>289</v>
      </c>
      <c r="D27" s="21" t="s">
        <v>321</v>
      </c>
      <c r="E27" s="20" t="s">
        <v>291</v>
      </c>
      <c r="F27" s="20">
        <v>150000</v>
      </c>
      <c r="G27" s="20">
        <v>0</v>
      </c>
      <c r="H27" s="20">
        <v>25000</v>
      </c>
      <c r="I27" s="20">
        <v>10000</v>
      </c>
      <c r="J27" s="20">
        <v>15000</v>
      </c>
      <c r="K27" s="20">
        <f t="shared" si="1"/>
        <v>200000</v>
      </c>
      <c r="L27" s="20">
        <f t="shared" si="2"/>
        <v>2400000</v>
      </c>
      <c r="M27" s="20">
        <v>600000</v>
      </c>
      <c r="N27" s="20">
        <f t="shared" si="3"/>
        <v>1800000</v>
      </c>
    </row>
    <row r="28" spans="1:17" ht="21" x14ac:dyDescent="0.4">
      <c r="A28" s="18">
        <v>1008</v>
      </c>
      <c r="B28" s="19" t="s">
        <v>33</v>
      </c>
      <c r="C28" s="20" t="s">
        <v>289</v>
      </c>
      <c r="D28" s="21" t="s">
        <v>321</v>
      </c>
      <c r="E28" s="20" t="s">
        <v>292</v>
      </c>
      <c r="F28" s="20">
        <v>150000</v>
      </c>
      <c r="G28" s="20">
        <v>10000</v>
      </c>
      <c r="H28" s="20">
        <v>25000</v>
      </c>
      <c r="I28" s="20">
        <v>10000</v>
      </c>
      <c r="J28" s="20">
        <v>15000</v>
      </c>
      <c r="K28" s="20">
        <f t="shared" si="1"/>
        <v>210000</v>
      </c>
      <c r="L28" s="20">
        <f t="shared" si="2"/>
        <v>2520000</v>
      </c>
      <c r="M28" s="20">
        <v>2000000</v>
      </c>
      <c r="N28" s="20">
        <f t="shared" si="3"/>
        <v>520000</v>
      </c>
    </row>
    <row r="29" spans="1:17" ht="21" x14ac:dyDescent="0.4">
      <c r="A29" s="18">
        <v>1009</v>
      </c>
      <c r="B29" s="19" t="s">
        <v>34</v>
      </c>
      <c r="C29" s="20" t="s">
        <v>289</v>
      </c>
      <c r="D29" s="21" t="s">
        <v>321</v>
      </c>
      <c r="E29" s="20" t="s">
        <v>291</v>
      </c>
      <c r="F29" s="20">
        <v>150000</v>
      </c>
      <c r="G29" s="20">
        <v>0</v>
      </c>
      <c r="H29" s="20">
        <v>25000</v>
      </c>
      <c r="I29" s="20">
        <v>10000</v>
      </c>
      <c r="J29" s="20">
        <v>15000</v>
      </c>
      <c r="K29" s="20">
        <f t="shared" si="1"/>
        <v>200000</v>
      </c>
      <c r="L29" s="20">
        <f t="shared" si="2"/>
        <v>2400000</v>
      </c>
      <c r="M29" s="20">
        <v>150000</v>
      </c>
      <c r="N29" s="20">
        <f t="shared" si="3"/>
        <v>2250000</v>
      </c>
    </row>
    <row r="30" spans="1:17" ht="21" x14ac:dyDescent="0.4">
      <c r="A30" s="18">
        <v>1010</v>
      </c>
      <c r="B30" s="19" t="s">
        <v>35</v>
      </c>
      <c r="C30" s="20" t="s">
        <v>289</v>
      </c>
      <c r="D30" s="21" t="s">
        <v>321</v>
      </c>
      <c r="E30" s="20" t="s">
        <v>292</v>
      </c>
      <c r="F30" s="20">
        <v>150000</v>
      </c>
      <c r="G30" s="20">
        <v>10000</v>
      </c>
      <c r="H30" s="20">
        <v>25000</v>
      </c>
      <c r="I30" s="20">
        <v>10000</v>
      </c>
      <c r="J30" s="20">
        <v>15000</v>
      </c>
      <c r="K30" s="20">
        <f t="shared" si="1"/>
        <v>210000</v>
      </c>
      <c r="L30" s="20">
        <f t="shared" si="2"/>
        <v>2520000</v>
      </c>
      <c r="M30" s="20">
        <v>1300000</v>
      </c>
      <c r="N30" s="20">
        <f t="shared" si="3"/>
        <v>1220000</v>
      </c>
    </row>
    <row r="31" spans="1:17" ht="21" x14ac:dyDescent="0.4">
      <c r="A31" s="18">
        <v>1011</v>
      </c>
      <c r="B31" s="19" t="s">
        <v>36</v>
      </c>
      <c r="C31" s="20" t="s">
        <v>289</v>
      </c>
      <c r="D31" s="21" t="s">
        <v>321</v>
      </c>
      <c r="E31" s="20" t="s">
        <v>291</v>
      </c>
      <c r="F31" s="20">
        <v>150000</v>
      </c>
      <c r="G31" s="20">
        <v>0</v>
      </c>
      <c r="H31" s="20">
        <v>25000</v>
      </c>
      <c r="I31" s="20">
        <v>10000</v>
      </c>
      <c r="J31" s="20">
        <v>15000</v>
      </c>
      <c r="K31" s="20">
        <f t="shared" si="1"/>
        <v>200000</v>
      </c>
      <c r="L31" s="20">
        <f t="shared" si="2"/>
        <v>2400000</v>
      </c>
      <c r="M31" s="20">
        <v>200000</v>
      </c>
      <c r="N31" s="20">
        <f t="shared" si="3"/>
        <v>2200000</v>
      </c>
    </row>
    <row r="32" spans="1:17" ht="21" x14ac:dyDescent="0.4">
      <c r="A32" s="18">
        <v>1012</v>
      </c>
      <c r="B32" s="19" t="s">
        <v>37</v>
      </c>
      <c r="C32" s="20" t="s">
        <v>289</v>
      </c>
      <c r="D32" s="21" t="s">
        <v>321</v>
      </c>
      <c r="E32" s="20" t="s">
        <v>291</v>
      </c>
      <c r="F32" s="20">
        <v>150000</v>
      </c>
      <c r="G32" s="20">
        <v>0</v>
      </c>
      <c r="H32" s="20">
        <v>25000</v>
      </c>
      <c r="I32" s="20">
        <v>10000</v>
      </c>
      <c r="J32" s="20">
        <v>15000</v>
      </c>
      <c r="K32" s="20">
        <f t="shared" si="1"/>
        <v>200000</v>
      </c>
      <c r="L32" s="20">
        <f t="shared" si="2"/>
        <v>2400000</v>
      </c>
      <c r="M32" s="20">
        <v>1500000</v>
      </c>
      <c r="N32" s="20">
        <f>L32-M32</f>
        <v>900000</v>
      </c>
    </row>
    <row r="33" spans="1:14" ht="21" x14ac:dyDescent="0.4">
      <c r="A33" s="18">
        <v>1013</v>
      </c>
      <c r="B33" s="19" t="s">
        <v>38</v>
      </c>
      <c r="C33" s="20" t="s">
        <v>289</v>
      </c>
      <c r="D33" s="21" t="s">
        <v>321</v>
      </c>
      <c r="E33" s="20" t="s">
        <v>291</v>
      </c>
      <c r="F33" s="20">
        <v>150000</v>
      </c>
      <c r="G33" s="20">
        <v>0</v>
      </c>
      <c r="H33" s="20">
        <v>25000</v>
      </c>
      <c r="I33" s="20">
        <v>10000</v>
      </c>
      <c r="J33" s="20">
        <v>15000</v>
      </c>
      <c r="K33" s="20">
        <f t="shared" si="1"/>
        <v>200000</v>
      </c>
      <c r="L33" s="20">
        <f t="shared" si="2"/>
        <v>2400000</v>
      </c>
      <c r="M33" s="20">
        <v>1134928</v>
      </c>
      <c r="N33" s="20">
        <f t="shared" si="3"/>
        <v>1265072</v>
      </c>
    </row>
    <row r="34" spans="1:14" ht="21" x14ac:dyDescent="0.4">
      <c r="A34" s="18">
        <v>1014</v>
      </c>
      <c r="B34" s="19" t="s">
        <v>39</v>
      </c>
      <c r="C34" s="20" t="s">
        <v>289</v>
      </c>
      <c r="D34" s="21" t="s">
        <v>321</v>
      </c>
      <c r="E34" s="20" t="s">
        <v>292</v>
      </c>
      <c r="F34" s="20">
        <v>150000</v>
      </c>
      <c r="G34" s="20">
        <v>10000</v>
      </c>
      <c r="H34" s="20">
        <v>25000</v>
      </c>
      <c r="I34" s="20">
        <v>10000</v>
      </c>
      <c r="J34" s="20">
        <v>15000</v>
      </c>
      <c r="K34" s="20">
        <f t="shared" si="1"/>
        <v>210000</v>
      </c>
      <c r="L34" s="20">
        <f t="shared" si="2"/>
        <v>2520000</v>
      </c>
      <c r="M34" s="20">
        <v>288349</v>
      </c>
      <c r="N34" s="20">
        <f t="shared" si="3"/>
        <v>2231651</v>
      </c>
    </row>
    <row r="35" spans="1:14" ht="21" x14ac:dyDescent="0.4">
      <c r="A35" s="18">
        <v>1015</v>
      </c>
      <c r="B35" s="19" t="s">
        <v>40</v>
      </c>
      <c r="C35" s="20" t="s">
        <v>290</v>
      </c>
      <c r="D35" s="21" t="s">
        <v>321</v>
      </c>
      <c r="E35" s="20" t="s">
        <v>292</v>
      </c>
      <c r="F35" s="20">
        <v>150000</v>
      </c>
      <c r="G35" s="20">
        <v>10000</v>
      </c>
      <c r="H35" s="20">
        <v>25000</v>
      </c>
      <c r="I35" s="20">
        <v>10000</v>
      </c>
      <c r="J35" s="20">
        <v>15000</v>
      </c>
      <c r="K35" s="20">
        <f t="shared" si="1"/>
        <v>210000</v>
      </c>
      <c r="L35" s="20">
        <f t="shared" si="2"/>
        <v>2520000</v>
      </c>
      <c r="M35" s="20">
        <v>1285867</v>
      </c>
      <c r="N35" s="20">
        <f t="shared" si="3"/>
        <v>1234133</v>
      </c>
    </row>
    <row r="36" spans="1:14" ht="21" x14ac:dyDescent="0.4">
      <c r="A36" s="18">
        <v>1016</v>
      </c>
      <c r="B36" s="19" t="s">
        <v>41</v>
      </c>
      <c r="C36" s="20" t="s">
        <v>290</v>
      </c>
      <c r="D36" s="21" t="s">
        <v>321</v>
      </c>
      <c r="E36" s="20" t="s">
        <v>292</v>
      </c>
      <c r="F36" s="20">
        <v>150000</v>
      </c>
      <c r="G36" s="20">
        <v>10000</v>
      </c>
      <c r="H36" s="20">
        <v>25000</v>
      </c>
      <c r="I36" s="20">
        <v>10000</v>
      </c>
      <c r="J36" s="20">
        <v>15000</v>
      </c>
      <c r="K36" s="20">
        <f t="shared" si="1"/>
        <v>210000</v>
      </c>
      <c r="L36" s="20">
        <f t="shared" si="2"/>
        <v>2520000</v>
      </c>
      <c r="M36" s="20">
        <v>1147894</v>
      </c>
      <c r="N36" s="20">
        <f t="shared" si="3"/>
        <v>1372106</v>
      </c>
    </row>
    <row r="37" spans="1:14" ht="21" x14ac:dyDescent="0.4">
      <c r="A37" s="18">
        <v>1017</v>
      </c>
      <c r="B37" s="19" t="s">
        <v>42</v>
      </c>
      <c r="C37" s="20" t="s">
        <v>290</v>
      </c>
      <c r="D37" s="21" t="s">
        <v>321</v>
      </c>
      <c r="E37" s="20" t="s">
        <v>292</v>
      </c>
      <c r="F37" s="20">
        <v>150000</v>
      </c>
      <c r="G37" s="20">
        <v>10000</v>
      </c>
      <c r="H37" s="20">
        <v>25000</v>
      </c>
      <c r="I37" s="20">
        <v>10000</v>
      </c>
      <c r="J37" s="20">
        <v>15000</v>
      </c>
      <c r="K37" s="20">
        <f t="shared" si="1"/>
        <v>210000</v>
      </c>
      <c r="L37" s="20">
        <f t="shared" si="2"/>
        <v>2520000</v>
      </c>
      <c r="M37" s="20">
        <v>531111</v>
      </c>
      <c r="N37" s="20">
        <f t="shared" si="3"/>
        <v>1988889</v>
      </c>
    </row>
    <row r="38" spans="1:14" ht="21" x14ac:dyDescent="0.4">
      <c r="A38" s="18">
        <v>1018</v>
      </c>
      <c r="B38" s="19" t="s">
        <v>43</v>
      </c>
      <c r="C38" s="20" t="s">
        <v>289</v>
      </c>
      <c r="D38" s="21" t="s">
        <v>321</v>
      </c>
      <c r="E38" s="20" t="s">
        <v>291</v>
      </c>
      <c r="F38" s="20">
        <v>150000</v>
      </c>
      <c r="G38" s="20">
        <v>0</v>
      </c>
      <c r="H38" s="20">
        <v>25000</v>
      </c>
      <c r="I38" s="20">
        <v>10000</v>
      </c>
      <c r="J38" s="20">
        <v>15000</v>
      </c>
      <c r="K38" s="20">
        <f t="shared" si="1"/>
        <v>200000</v>
      </c>
      <c r="L38" s="20">
        <f t="shared" si="2"/>
        <v>2400000</v>
      </c>
      <c r="M38" s="20">
        <v>245074</v>
      </c>
      <c r="N38" s="20">
        <f t="shared" si="3"/>
        <v>2154926</v>
      </c>
    </row>
    <row r="39" spans="1:14" ht="21" x14ac:dyDescent="0.4">
      <c r="A39" s="18">
        <v>1019</v>
      </c>
      <c r="B39" s="19" t="s">
        <v>44</v>
      </c>
      <c r="C39" s="20" t="s">
        <v>290</v>
      </c>
      <c r="D39" s="21" t="s">
        <v>322</v>
      </c>
      <c r="E39" s="20" t="s">
        <v>291</v>
      </c>
      <c r="F39" s="20">
        <v>120000</v>
      </c>
      <c r="G39" s="20">
        <v>0</v>
      </c>
      <c r="H39" s="20">
        <v>20000</v>
      </c>
      <c r="I39" s="20">
        <v>10000</v>
      </c>
      <c r="J39" s="20">
        <v>10000</v>
      </c>
      <c r="K39" s="20">
        <f t="shared" si="1"/>
        <v>160000</v>
      </c>
      <c r="L39" s="20">
        <f t="shared" si="2"/>
        <v>1920000</v>
      </c>
      <c r="M39" s="20">
        <v>293940</v>
      </c>
      <c r="N39" s="20">
        <f t="shared" si="3"/>
        <v>1626060</v>
      </c>
    </row>
    <row r="40" spans="1:14" ht="21" x14ac:dyDescent="0.4">
      <c r="A40" s="18">
        <v>1020</v>
      </c>
      <c r="B40" s="19" t="s">
        <v>45</v>
      </c>
      <c r="C40" s="20" t="s">
        <v>290</v>
      </c>
      <c r="D40" s="21" t="s">
        <v>322</v>
      </c>
      <c r="E40" s="20" t="s">
        <v>291</v>
      </c>
      <c r="F40" s="20">
        <v>120000</v>
      </c>
      <c r="G40" s="20">
        <v>0</v>
      </c>
      <c r="H40" s="20">
        <v>20000</v>
      </c>
      <c r="I40" s="20">
        <v>10000</v>
      </c>
      <c r="J40" s="20">
        <v>10000</v>
      </c>
      <c r="K40" s="20">
        <f t="shared" si="1"/>
        <v>160000</v>
      </c>
      <c r="L40" s="20">
        <f t="shared" si="2"/>
        <v>1920000</v>
      </c>
      <c r="M40" s="20">
        <v>1860216</v>
      </c>
      <c r="N40" s="20">
        <f t="shared" si="3"/>
        <v>59784</v>
      </c>
    </row>
    <row r="41" spans="1:14" ht="21" x14ac:dyDescent="0.4">
      <c r="A41" s="18">
        <v>1021</v>
      </c>
      <c r="B41" s="19" t="s">
        <v>46</v>
      </c>
      <c r="C41" s="20" t="s">
        <v>290</v>
      </c>
      <c r="D41" s="21" t="s">
        <v>322</v>
      </c>
      <c r="E41" s="20" t="s">
        <v>292</v>
      </c>
      <c r="F41" s="20">
        <v>120000</v>
      </c>
      <c r="G41" s="20">
        <v>10000</v>
      </c>
      <c r="H41" s="20">
        <v>20000</v>
      </c>
      <c r="I41" s="20">
        <v>10000</v>
      </c>
      <c r="J41" s="20">
        <v>10000</v>
      </c>
      <c r="K41" s="20">
        <f t="shared" si="1"/>
        <v>170000</v>
      </c>
      <c r="L41" s="20">
        <f t="shared" si="2"/>
        <v>2040000</v>
      </c>
      <c r="M41" s="20">
        <v>1707018</v>
      </c>
      <c r="N41" s="20">
        <f t="shared" si="3"/>
        <v>332982</v>
      </c>
    </row>
    <row r="42" spans="1:14" ht="21" x14ac:dyDescent="0.4">
      <c r="A42" s="18">
        <v>1022</v>
      </c>
      <c r="B42" s="19" t="s">
        <v>47</v>
      </c>
      <c r="C42" s="20" t="s">
        <v>290</v>
      </c>
      <c r="D42" s="21" t="s">
        <v>322</v>
      </c>
      <c r="E42" s="20" t="s">
        <v>292</v>
      </c>
      <c r="F42" s="20">
        <v>120000</v>
      </c>
      <c r="G42" s="20">
        <v>10000</v>
      </c>
      <c r="H42" s="20">
        <v>20000</v>
      </c>
      <c r="I42" s="20">
        <v>10000</v>
      </c>
      <c r="J42" s="20">
        <v>10000</v>
      </c>
      <c r="K42" s="20">
        <f t="shared" si="1"/>
        <v>170000</v>
      </c>
      <c r="L42" s="20">
        <f t="shared" si="2"/>
        <v>2040000</v>
      </c>
      <c r="M42" s="20">
        <v>117289</v>
      </c>
      <c r="N42" s="20">
        <f t="shared" si="3"/>
        <v>1922711</v>
      </c>
    </row>
    <row r="43" spans="1:14" ht="21" x14ac:dyDescent="0.4">
      <c r="A43" s="18">
        <v>1023</v>
      </c>
      <c r="B43" s="19" t="s">
        <v>48</v>
      </c>
      <c r="C43" s="20" t="s">
        <v>290</v>
      </c>
      <c r="D43" s="21" t="s">
        <v>322</v>
      </c>
      <c r="E43" s="20" t="s">
        <v>291</v>
      </c>
      <c r="F43" s="20">
        <v>120000</v>
      </c>
      <c r="G43" s="20">
        <v>0</v>
      </c>
      <c r="H43" s="20">
        <v>20000</v>
      </c>
      <c r="I43" s="20">
        <v>10000</v>
      </c>
      <c r="J43" s="20">
        <v>10000</v>
      </c>
      <c r="K43" s="20">
        <f t="shared" si="1"/>
        <v>160000</v>
      </c>
      <c r="L43" s="20">
        <f t="shared" si="2"/>
        <v>1920000</v>
      </c>
      <c r="M43" s="20">
        <v>490940</v>
      </c>
      <c r="N43" s="20">
        <f t="shared" si="3"/>
        <v>1429060</v>
      </c>
    </row>
    <row r="44" spans="1:14" ht="21" x14ac:dyDescent="0.4">
      <c r="A44" s="18">
        <v>1024</v>
      </c>
      <c r="B44" s="19" t="s">
        <v>49</v>
      </c>
      <c r="C44" s="20" t="s">
        <v>290</v>
      </c>
      <c r="D44" s="21" t="s">
        <v>322</v>
      </c>
      <c r="E44" s="20" t="s">
        <v>291</v>
      </c>
      <c r="F44" s="20">
        <v>120000</v>
      </c>
      <c r="G44" s="20">
        <v>0</v>
      </c>
      <c r="H44" s="20">
        <v>20000</v>
      </c>
      <c r="I44" s="20">
        <v>10000</v>
      </c>
      <c r="J44" s="20">
        <v>10000</v>
      </c>
      <c r="K44" s="20">
        <f t="shared" si="1"/>
        <v>160000</v>
      </c>
      <c r="L44" s="20">
        <f t="shared" si="2"/>
        <v>1920000</v>
      </c>
      <c r="M44" s="20">
        <v>1289601</v>
      </c>
      <c r="N44" s="20">
        <f t="shared" si="3"/>
        <v>630399</v>
      </c>
    </row>
    <row r="45" spans="1:14" ht="21" x14ac:dyDescent="0.4">
      <c r="A45" s="18">
        <v>1025</v>
      </c>
      <c r="B45" s="19" t="s">
        <v>50</v>
      </c>
      <c r="C45" s="20" t="s">
        <v>290</v>
      </c>
      <c r="D45" s="21" t="s">
        <v>322</v>
      </c>
      <c r="E45" s="20" t="s">
        <v>291</v>
      </c>
      <c r="F45" s="20">
        <v>120000</v>
      </c>
      <c r="G45" s="20">
        <v>0</v>
      </c>
      <c r="H45" s="20">
        <v>20000</v>
      </c>
      <c r="I45" s="20">
        <v>10000</v>
      </c>
      <c r="J45" s="20">
        <v>10000</v>
      </c>
      <c r="K45" s="20">
        <f t="shared" si="1"/>
        <v>160000</v>
      </c>
      <c r="L45" s="20">
        <f t="shared" si="2"/>
        <v>1920000</v>
      </c>
      <c r="M45" s="20">
        <v>193370</v>
      </c>
      <c r="N45" s="20">
        <f t="shared" si="3"/>
        <v>1726630</v>
      </c>
    </row>
    <row r="46" spans="1:14" ht="21" x14ac:dyDescent="0.4">
      <c r="A46" s="18">
        <v>1026</v>
      </c>
      <c r="B46" s="19" t="s">
        <v>51</v>
      </c>
      <c r="C46" s="20" t="s">
        <v>290</v>
      </c>
      <c r="D46" s="21" t="s">
        <v>322</v>
      </c>
      <c r="E46" s="20" t="s">
        <v>291</v>
      </c>
      <c r="F46" s="20">
        <v>120000</v>
      </c>
      <c r="G46" s="20">
        <v>0</v>
      </c>
      <c r="H46" s="20">
        <v>20000</v>
      </c>
      <c r="I46" s="20">
        <v>10000</v>
      </c>
      <c r="J46" s="20">
        <v>10000</v>
      </c>
      <c r="K46" s="20">
        <f t="shared" si="1"/>
        <v>160000</v>
      </c>
      <c r="L46" s="20">
        <f t="shared" si="2"/>
        <v>1920000</v>
      </c>
      <c r="M46" s="20">
        <v>1677880</v>
      </c>
      <c r="N46" s="20">
        <f t="shared" si="3"/>
        <v>242120</v>
      </c>
    </row>
    <row r="47" spans="1:14" ht="21" x14ac:dyDescent="0.4">
      <c r="A47" s="18">
        <v>1027</v>
      </c>
      <c r="B47" s="19" t="s">
        <v>52</v>
      </c>
      <c r="C47" s="20" t="s">
        <v>290</v>
      </c>
      <c r="D47" s="21" t="s">
        <v>322</v>
      </c>
      <c r="E47" s="20" t="s">
        <v>292</v>
      </c>
      <c r="F47" s="20">
        <v>120000</v>
      </c>
      <c r="G47" s="20">
        <v>10000</v>
      </c>
      <c r="H47" s="20">
        <v>20000</v>
      </c>
      <c r="I47" s="20">
        <v>10000</v>
      </c>
      <c r="J47" s="20">
        <v>10000</v>
      </c>
      <c r="K47" s="20">
        <f t="shared" si="1"/>
        <v>170000</v>
      </c>
      <c r="L47" s="20">
        <f t="shared" si="2"/>
        <v>2040000</v>
      </c>
      <c r="M47" s="20">
        <v>422410</v>
      </c>
      <c r="N47" s="20">
        <f t="shared" si="3"/>
        <v>1617590</v>
      </c>
    </row>
    <row r="48" spans="1:14" ht="21" x14ac:dyDescent="0.4">
      <c r="A48" s="18">
        <v>1028</v>
      </c>
      <c r="B48" s="19" t="s">
        <v>53</v>
      </c>
      <c r="C48" s="20" t="s">
        <v>290</v>
      </c>
      <c r="D48" s="21" t="s">
        <v>322</v>
      </c>
      <c r="E48" s="20" t="s">
        <v>291</v>
      </c>
      <c r="F48" s="20">
        <v>120000</v>
      </c>
      <c r="G48" s="20">
        <v>0</v>
      </c>
      <c r="H48" s="20">
        <v>20000</v>
      </c>
      <c r="I48" s="20">
        <v>10000</v>
      </c>
      <c r="J48" s="20">
        <v>10000</v>
      </c>
      <c r="K48" s="20">
        <f t="shared" si="1"/>
        <v>160000</v>
      </c>
      <c r="L48" s="20">
        <f t="shared" si="2"/>
        <v>1920000</v>
      </c>
      <c r="M48" s="20">
        <v>268404</v>
      </c>
      <c r="N48" s="20">
        <f t="shared" si="3"/>
        <v>1651596</v>
      </c>
    </row>
    <row r="49" spans="1:14" ht="21" x14ac:dyDescent="0.4">
      <c r="A49" s="18">
        <v>1029</v>
      </c>
      <c r="B49" s="19" t="s">
        <v>54</v>
      </c>
      <c r="C49" s="20" t="s">
        <v>290</v>
      </c>
      <c r="D49" s="21" t="s">
        <v>322</v>
      </c>
      <c r="E49" s="20" t="s">
        <v>292</v>
      </c>
      <c r="F49" s="20">
        <v>120000</v>
      </c>
      <c r="G49" s="20">
        <v>10000</v>
      </c>
      <c r="H49" s="20">
        <v>20000</v>
      </c>
      <c r="I49" s="20">
        <v>10000</v>
      </c>
      <c r="J49" s="20">
        <v>10000</v>
      </c>
      <c r="K49" s="20">
        <f t="shared" si="1"/>
        <v>170000</v>
      </c>
      <c r="L49" s="20">
        <f t="shared" si="2"/>
        <v>2040000</v>
      </c>
      <c r="M49" s="20">
        <v>560558</v>
      </c>
      <c r="N49" s="20">
        <f t="shared" si="3"/>
        <v>1479442</v>
      </c>
    </row>
    <row r="50" spans="1:14" ht="21" x14ac:dyDescent="0.4">
      <c r="A50" s="18">
        <v>1030</v>
      </c>
      <c r="B50" s="19" t="s">
        <v>55</v>
      </c>
      <c r="C50" s="20" t="s">
        <v>290</v>
      </c>
      <c r="D50" s="21" t="s">
        <v>322</v>
      </c>
      <c r="E50" s="20" t="s">
        <v>292</v>
      </c>
      <c r="F50" s="20">
        <v>120000</v>
      </c>
      <c r="G50" s="20">
        <v>10000</v>
      </c>
      <c r="H50" s="20">
        <v>20000</v>
      </c>
      <c r="I50" s="20">
        <v>10000</v>
      </c>
      <c r="J50" s="20">
        <v>10000</v>
      </c>
      <c r="K50" s="20">
        <f t="shared" si="1"/>
        <v>170000</v>
      </c>
      <c r="L50" s="20">
        <f t="shared" si="2"/>
        <v>2040000</v>
      </c>
      <c r="M50" s="20">
        <v>323204</v>
      </c>
      <c r="N50" s="20">
        <f t="shared" si="3"/>
        <v>1716796</v>
      </c>
    </row>
    <row r="51" spans="1:14" ht="21" x14ac:dyDescent="0.4">
      <c r="A51" s="18">
        <v>1031</v>
      </c>
      <c r="B51" s="19" t="s">
        <v>62</v>
      </c>
      <c r="C51" s="20" t="s">
        <v>290</v>
      </c>
      <c r="D51" s="21" t="s">
        <v>322</v>
      </c>
      <c r="E51" s="20" t="s">
        <v>291</v>
      </c>
      <c r="F51" s="20">
        <v>120000</v>
      </c>
      <c r="G51" s="20">
        <v>0</v>
      </c>
      <c r="H51" s="20">
        <v>20000</v>
      </c>
      <c r="I51" s="20">
        <v>10000</v>
      </c>
      <c r="J51" s="20">
        <v>10000</v>
      </c>
      <c r="K51" s="20">
        <f t="shared" si="1"/>
        <v>160000</v>
      </c>
      <c r="L51" s="20">
        <f t="shared" si="2"/>
        <v>1920000</v>
      </c>
      <c r="M51" s="20">
        <v>521474</v>
      </c>
      <c r="N51" s="20">
        <f t="shared" si="3"/>
        <v>1398526</v>
      </c>
    </row>
    <row r="52" spans="1:14" ht="21" x14ac:dyDescent="0.4">
      <c r="A52" s="18">
        <v>1032</v>
      </c>
      <c r="B52" s="19" t="s">
        <v>56</v>
      </c>
      <c r="C52" s="20" t="s">
        <v>290</v>
      </c>
      <c r="D52" s="21" t="s">
        <v>322</v>
      </c>
      <c r="E52" s="20" t="s">
        <v>291</v>
      </c>
      <c r="F52" s="20">
        <v>120000</v>
      </c>
      <c r="G52" s="20">
        <v>0</v>
      </c>
      <c r="H52" s="20">
        <v>20000</v>
      </c>
      <c r="I52" s="20">
        <v>10000</v>
      </c>
      <c r="J52" s="20">
        <v>10000</v>
      </c>
      <c r="K52" s="20">
        <f t="shared" si="1"/>
        <v>160000</v>
      </c>
      <c r="L52" s="20">
        <f t="shared" si="2"/>
        <v>1920000</v>
      </c>
      <c r="M52" s="20">
        <v>167516</v>
      </c>
      <c r="N52" s="20">
        <f t="shared" si="3"/>
        <v>1752484</v>
      </c>
    </row>
    <row r="53" spans="1:14" ht="21" x14ac:dyDescent="0.4">
      <c r="A53" s="18">
        <v>1033</v>
      </c>
      <c r="B53" s="19" t="s">
        <v>57</v>
      </c>
      <c r="C53" s="20" t="s">
        <v>289</v>
      </c>
      <c r="D53" s="21" t="s">
        <v>322</v>
      </c>
      <c r="E53" s="20" t="s">
        <v>291</v>
      </c>
      <c r="F53" s="20">
        <v>120000</v>
      </c>
      <c r="G53" s="20">
        <v>0</v>
      </c>
      <c r="H53" s="20">
        <v>20000</v>
      </c>
      <c r="I53" s="20">
        <v>10000</v>
      </c>
      <c r="J53" s="20">
        <v>10000</v>
      </c>
      <c r="K53" s="20">
        <f t="shared" si="1"/>
        <v>160000</v>
      </c>
      <c r="L53" s="20">
        <f t="shared" si="2"/>
        <v>1920000</v>
      </c>
      <c r="M53" s="20">
        <v>1386806</v>
      </c>
      <c r="N53" s="20">
        <f t="shared" si="3"/>
        <v>533194</v>
      </c>
    </row>
    <row r="54" spans="1:14" ht="21" x14ac:dyDescent="0.4">
      <c r="A54" s="18">
        <v>1034</v>
      </c>
      <c r="B54" s="19" t="s">
        <v>58</v>
      </c>
      <c r="C54" s="20" t="s">
        <v>289</v>
      </c>
      <c r="D54" s="21" t="s">
        <v>322</v>
      </c>
      <c r="E54" s="20" t="s">
        <v>291</v>
      </c>
      <c r="F54" s="20">
        <v>120000</v>
      </c>
      <c r="G54" s="20">
        <v>0</v>
      </c>
      <c r="H54" s="20">
        <v>20000</v>
      </c>
      <c r="I54" s="20">
        <v>10000</v>
      </c>
      <c r="J54" s="20">
        <v>10000</v>
      </c>
      <c r="K54" s="20">
        <f t="shared" si="1"/>
        <v>160000</v>
      </c>
      <c r="L54" s="20">
        <f t="shared" si="2"/>
        <v>1920000</v>
      </c>
      <c r="M54" s="20">
        <v>1148455</v>
      </c>
      <c r="N54" s="20">
        <f t="shared" si="3"/>
        <v>771545</v>
      </c>
    </row>
    <row r="55" spans="1:14" ht="21" x14ac:dyDescent="0.4">
      <c r="A55" s="18">
        <v>1035</v>
      </c>
      <c r="B55" s="19" t="s">
        <v>59</v>
      </c>
      <c r="C55" s="20" t="s">
        <v>289</v>
      </c>
      <c r="D55" s="21" t="s">
        <v>322</v>
      </c>
      <c r="E55" s="20" t="s">
        <v>291</v>
      </c>
      <c r="F55" s="20">
        <v>120000</v>
      </c>
      <c r="G55" s="20">
        <v>0</v>
      </c>
      <c r="H55" s="20">
        <v>20000</v>
      </c>
      <c r="I55" s="20">
        <v>10000</v>
      </c>
      <c r="J55" s="20">
        <v>10000</v>
      </c>
      <c r="K55" s="20">
        <f t="shared" si="1"/>
        <v>160000</v>
      </c>
      <c r="L55" s="20">
        <f t="shared" si="2"/>
        <v>1920000</v>
      </c>
      <c r="M55" s="20">
        <v>823068</v>
      </c>
      <c r="N55" s="20">
        <f t="shared" si="3"/>
        <v>1096932</v>
      </c>
    </row>
    <row r="56" spans="1:14" ht="21" x14ac:dyDescent="0.4">
      <c r="A56" s="18">
        <v>1036</v>
      </c>
      <c r="B56" s="19" t="s">
        <v>60</v>
      </c>
      <c r="C56" s="20" t="s">
        <v>289</v>
      </c>
      <c r="D56" s="21" t="s">
        <v>322</v>
      </c>
      <c r="E56" s="20" t="s">
        <v>291</v>
      </c>
      <c r="F56" s="20">
        <v>120000</v>
      </c>
      <c r="G56" s="20">
        <v>0</v>
      </c>
      <c r="H56" s="20">
        <v>20000</v>
      </c>
      <c r="I56" s="20">
        <v>10000</v>
      </c>
      <c r="J56" s="20">
        <v>10000</v>
      </c>
      <c r="K56" s="20">
        <f t="shared" si="1"/>
        <v>160000</v>
      </c>
      <c r="L56" s="20">
        <f t="shared" si="2"/>
        <v>1920000</v>
      </c>
      <c r="M56" s="20">
        <v>440641</v>
      </c>
      <c r="N56" s="20">
        <f t="shared" si="3"/>
        <v>1479359</v>
      </c>
    </row>
    <row r="57" spans="1:14" ht="18" x14ac:dyDescent="0.35">
      <c r="A57" s="18">
        <v>1037</v>
      </c>
      <c r="B57" s="19" t="s">
        <v>61</v>
      </c>
      <c r="C57" s="20" t="s">
        <v>289</v>
      </c>
      <c r="D57" s="20" t="s">
        <v>297</v>
      </c>
      <c r="E57" s="20" t="s">
        <v>291</v>
      </c>
      <c r="F57" s="20">
        <v>30000</v>
      </c>
      <c r="G57" s="20">
        <v>0</v>
      </c>
      <c r="H57" s="20">
        <v>15000</v>
      </c>
      <c r="I57" s="20">
        <v>10000</v>
      </c>
      <c r="J57" s="22">
        <v>5000</v>
      </c>
      <c r="K57" s="20">
        <f t="shared" si="1"/>
        <v>60000</v>
      </c>
      <c r="L57" s="20">
        <f t="shared" si="2"/>
        <v>720000</v>
      </c>
      <c r="M57" s="20">
        <v>720000</v>
      </c>
      <c r="N57" s="20">
        <f t="shared" si="3"/>
        <v>0</v>
      </c>
    </row>
    <row r="58" spans="1:14" ht="18" x14ac:dyDescent="0.35">
      <c r="A58" s="18">
        <v>1038</v>
      </c>
      <c r="B58" s="19" t="s">
        <v>63</v>
      </c>
      <c r="C58" s="20" t="s">
        <v>289</v>
      </c>
      <c r="D58" s="20" t="s">
        <v>297</v>
      </c>
      <c r="E58" s="20" t="s">
        <v>292</v>
      </c>
      <c r="F58" s="20">
        <v>30000</v>
      </c>
      <c r="G58" s="20">
        <v>10000</v>
      </c>
      <c r="H58" s="20">
        <v>15000</v>
      </c>
      <c r="I58" s="20">
        <v>10000</v>
      </c>
      <c r="J58" s="22">
        <v>5000</v>
      </c>
      <c r="K58" s="20">
        <f t="shared" si="1"/>
        <v>70000</v>
      </c>
      <c r="L58" s="20">
        <f t="shared" si="2"/>
        <v>840000</v>
      </c>
      <c r="M58" s="20">
        <v>330360</v>
      </c>
      <c r="N58" s="20">
        <f t="shared" si="3"/>
        <v>509640</v>
      </c>
    </row>
    <row r="59" spans="1:14" ht="18" x14ac:dyDescent="0.35">
      <c r="A59" s="18">
        <v>1039</v>
      </c>
      <c r="B59" s="19" t="s">
        <v>64</v>
      </c>
      <c r="C59" s="20" t="s">
        <v>290</v>
      </c>
      <c r="D59" s="20" t="s">
        <v>297</v>
      </c>
      <c r="E59" s="20" t="s">
        <v>291</v>
      </c>
      <c r="F59" s="20">
        <v>30000</v>
      </c>
      <c r="G59" s="20">
        <v>0</v>
      </c>
      <c r="H59" s="20">
        <v>15000</v>
      </c>
      <c r="I59" s="20">
        <v>10000</v>
      </c>
      <c r="J59" s="22">
        <v>5000</v>
      </c>
      <c r="K59" s="20">
        <f t="shared" si="1"/>
        <v>60000</v>
      </c>
      <c r="L59" s="20">
        <f t="shared" si="2"/>
        <v>720000</v>
      </c>
      <c r="M59" s="20">
        <v>182503</v>
      </c>
      <c r="N59" s="20">
        <f t="shared" si="3"/>
        <v>537497</v>
      </c>
    </row>
    <row r="60" spans="1:14" ht="18" x14ac:dyDescent="0.35">
      <c r="A60" s="18">
        <v>1040</v>
      </c>
      <c r="B60" s="19" t="s">
        <v>65</v>
      </c>
      <c r="C60" s="20" t="s">
        <v>290</v>
      </c>
      <c r="D60" s="20" t="s">
        <v>297</v>
      </c>
      <c r="E60" s="20" t="s">
        <v>291</v>
      </c>
      <c r="F60" s="20">
        <v>30000</v>
      </c>
      <c r="G60" s="20">
        <v>0</v>
      </c>
      <c r="H60" s="20">
        <v>15000</v>
      </c>
      <c r="I60" s="20">
        <v>10000</v>
      </c>
      <c r="J60" s="22">
        <v>5000</v>
      </c>
      <c r="K60" s="20">
        <f t="shared" si="1"/>
        <v>60000</v>
      </c>
      <c r="L60" s="20">
        <f t="shared" si="2"/>
        <v>720000</v>
      </c>
      <c r="M60" s="20">
        <v>125664</v>
      </c>
      <c r="N60" s="20">
        <f t="shared" si="3"/>
        <v>594336</v>
      </c>
    </row>
    <row r="61" spans="1:14" ht="18" x14ac:dyDescent="0.35">
      <c r="A61" s="18">
        <v>1041</v>
      </c>
      <c r="B61" s="19" t="s">
        <v>66</v>
      </c>
      <c r="C61" s="20" t="s">
        <v>289</v>
      </c>
      <c r="D61" s="20" t="s">
        <v>297</v>
      </c>
      <c r="E61" s="20" t="s">
        <v>292</v>
      </c>
      <c r="F61" s="20">
        <v>30000</v>
      </c>
      <c r="G61" s="20">
        <v>10000</v>
      </c>
      <c r="H61" s="20">
        <v>15000</v>
      </c>
      <c r="I61" s="20">
        <v>10000</v>
      </c>
      <c r="J61" s="22">
        <v>5000</v>
      </c>
      <c r="K61" s="20">
        <f t="shared" si="1"/>
        <v>70000</v>
      </c>
      <c r="L61" s="20">
        <f t="shared" si="2"/>
        <v>840000</v>
      </c>
      <c r="M61" s="20">
        <v>178758</v>
      </c>
      <c r="N61" s="20">
        <f t="shared" si="3"/>
        <v>661242</v>
      </c>
    </row>
    <row r="62" spans="1:14" ht="18" x14ac:dyDescent="0.35">
      <c r="A62" s="18">
        <v>1042</v>
      </c>
      <c r="B62" s="19" t="s">
        <v>67</v>
      </c>
      <c r="C62" s="20" t="s">
        <v>289</v>
      </c>
      <c r="D62" s="20" t="s">
        <v>297</v>
      </c>
      <c r="E62" s="20" t="s">
        <v>292</v>
      </c>
      <c r="F62" s="20">
        <v>30000</v>
      </c>
      <c r="G62" s="20">
        <v>10000</v>
      </c>
      <c r="H62" s="20">
        <v>15000</v>
      </c>
      <c r="I62" s="20">
        <v>10000</v>
      </c>
      <c r="J62" s="22">
        <v>5000</v>
      </c>
      <c r="K62" s="20">
        <f t="shared" si="1"/>
        <v>70000</v>
      </c>
      <c r="L62" s="20">
        <f t="shared" si="2"/>
        <v>840000</v>
      </c>
      <c r="M62" s="20">
        <v>156031</v>
      </c>
      <c r="N62" s="20">
        <f t="shared" si="3"/>
        <v>683969</v>
      </c>
    </row>
    <row r="63" spans="1:14" ht="18" x14ac:dyDescent="0.35">
      <c r="A63" s="18">
        <v>1043</v>
      </c>
      <c r="B63" s="19" t="s">
        <v>68</v>
      </c>
      <c r="C63" s="20" t="s">
        <v>290</v>
      </c>
      <c r="D63" s="20" t="s">
        <v>297</v>
      </c>
      <c r="E63" s="20" t="s">
        <v>292</v>
      </c>
      <c r="F63" s="20">
        <v>30000</v>
      </c>
      <c r="G63" s="20">
        <v>10000</v>
      </c>
      <c r="H63" s="20">
        <v>15000</v>
      </c>
      <c r="I63" s="20">
        <v>10000</v>
      </c>
      <c r="J63" s="22">
        <v>5000</v>
      </c>
      <c r="K63" s="20">
        <f t="shared" si="1"/>
        <v>70000</v>
      </c>
      <c r="L63" s="20">
        <f t="shared" si="2"/>
        <v>840000</v>
      </c>
      <c r="M63" s="20">
        <v>109354</v>
      </c>
      <c r="N63" s="20">
        <f t="shared" si="3"/>
        <v>730646</v>
      </c>
    </row>
    <row r="64" spans="1:14" ht="18" x14ac:dyDescent="0.35">
      <c r="A64" s="18">
        <v>1044</v>
      </c>
      <c r="B64" s="19" t="s">
        <v>69</v>
      </c>
      <c r="C64" s="20" t="s">
        <v>290</v>
      </c>
      <c r="D64" s="20" t="s">
        <v>297</v>
      </c>
      <c r="E64" s="20" t="s">
        <v>291</v>
      </c>
      <c r="F64" s="20">
        <v>30000</v>
      </c>
      <c r="G64" s="20">
        <v>0</v>
      </c>
      <c r="H64" s="20">
        <v>15000</v>
      </c>
      <c r="I64" s="20">
        <v>10000</v>
      </c>
      <c r="J64" s="22">
        <v>5000</v>
      </c>
      <c r="K64" s="20">
        <f t="shared" si="1"/>
        <v>60000</v>
      </c>
      <c r="L64" s="20">
        <f t="shared" si="2"/>
        <v>720000</v>
      </c>
      <c r="M64" s="20">
        <v>145003</v>
      </c>
      <c r="N64" s="20">
        <f t="shared" si="3"/>
        <v>574997</v>
      </c>
    </row>
    <row r="65" spans="1:14" ht="18" x14ac:dyDescent="0.35">
      <c r="A65" s="18">
        <v>1045</v>
      </c>
      <c r="B65" s="19" t="s">
        <v>70</v>
      </c>
      <c r="C65" s="20" t="s">
        <v>289</v>
      </c>
      <c r="D65" s="20" t="s">
        <v>297</v>
      </c>
      <c r="E65" s="20" t="s">
        <v>291</v>
      </c>
      <c r="F65" s="20">
        <v>30000</v>
      </c>
      <c r="G65" s="20">
        <v>0</v>
      </c>
      <c r="H65" s="20">
        <v>15000</v>
      </c>
      <c r="I65" s="20">
        <v>10000</v>
      </c>
      <c r="J65" s="22">
        <v>5000</v>
      </c>
      <c r="K65" s="20">
        <f t="shared" si="1"/>
        <v>60000</v>
      </c>
      <c r="L65" s="20">
        <f t="shared" si="2"/>
        <v>720000</v>
      </c>
      <c r="M65" s="20">
        <v>111806</v>
      </c>
      <c r="N65" s="20">
        <f t="shared" si="3"/>
        <v>608194</v>
      </c>
    </row>
    <row r="66" spans="1:14" ht="18" x14ac:dyDescent="0.35">
      <c r="A66" s="18">
        <v>1046</v>
      </c>
      <c r="B66" s="19" t="s">
        <v>71</v>
      </c>
      <c r="C66" s="20" t="s">
        <v>289</v>
      </c>
      <c r="D66" s="20" t="s">
        <v>297</v>
      </c>
      <c r="E66" s="20" t="s">
        <v>292</v>
      </c>
      <c r="F66" s="20">
        <v>30000</v>
      </c>
      <c r="G66" s="20">
        <v>10000</v>
      </c>
      <c r="H66" s="20">
        <v>15000</v>
      </c>
      <c r="I66" s="20">
        <v>10000</v>
      </c>
      <c r="J66" s="22">
        <v>5000</v>
      </c>
      <c r="K66" s="20">
        <f t="shared" si="1"/>
        <v>70000</v>
      </c>
      <c r="L66" s="20">
        <f t="shared" si="2"/>
        <v>840000</v>
      </c>
      <c r="M66" s="20">
        <v>623804</v>
      </c>
      <c r="N66" s="20">
        <f t="shared" si="3"/>
        <v>216196</v>
      </c>
    </row>
    <row r="67" spans="1:14" ht="18" x14ac:dyDescent="0.35">
      <c r="A67" s="18">
        <v>1047</v>
      </c>
      <c r="B67" s="19" t="s">
        <v>72</v>
      </c>
      <c r="C67" s="20" t="s">
        <v>289</v>
      </c>
      <c r="D67" s="20" t="s">
        <v>297</v>
      </c>
      <c r="E67" s="20" t="s">
        <v>292</v>
      </c>
      <c r="F67" s="20">
        <v>30000</v>
      </c>
      <c r="G67" s="20">
        <v>10000</v>
      </c>
      <c r="H67" s="20">
        <v>15000</v>
      </c>
      <c r="I67" s="20">
        <v>10000</v>
      </c>
      <c r="J67" s="22">
        <v>5000</v>
      </c>
      <c r="K67" s="20">
        <f t="shared" si="1"/>
        <v>70000</v>
      </c>
      <c r="L67" s="20">
        <f t="shared" si="2"/>
        <v>840000</v>
      </c>
      <c r="M67" s="20">
        <v>207068</v>
      </c>
      <c r="N67" s="20">
        <f t="shared" si="3"/>
        <v>632932</v>
      </c>
    </row>
    <row r="68" spans="1:14" ht="18" x14ac:dyDescent="0.35">
      <c r="A68" s="18">
        <v>1048</v>
      </c>
      <c r="B68" s="19" t="s">
        <v>73</v>
      </c>
      <c r="C68" s="20" t="s">
        <v>289</v>
      </c>
      <c r="D68" s="20" t="s">
        <v>297</v>
      </c>
      <c r="E68" s="20" t="s">
        <v>292</v>
      </c>
      <c r="F68" s="20">
        <v>30000</v>
      </c>
      <c r="G68" s="20">
        <v>10000</v>
      </c>
      <c r="H68" s="20">
        <v>15000</v>
      </c>
      <c r="I68" s="20">
        <v>10000</v>
      </c>
      <c r="J68" s="22">
        <v>5000</v>
      </c>
      <c r="K68" s="20">
        <f t="shared" si="1"/>
        <v>70000</v>
      </c>
      <c r="L68" s="20">
        <f t="shared" si="2"/>
        <v>840000</v>
      </c>
      <c r="M68" s="20">
        <v>8000</v>
      </c>
      <c r="N68" s="20">
        <f t="shared" si="3"/>
        <v>832000</v>
      </c>
    </row>
    <row r="69" spans="1:14" ht="18" x14ac:dyDescent="0.35">
      <c r="A69" s="18">
        <v>1049</v>
      </c>
      <c r="B69" s="19" t="s">
        <v>74</v>
      </c>
      <c r="C69" s="20" t="s">
        <v>289</v>
      </c>
      <c r="D69" s="20" t="s">
        <v>297</v>
      </c>
      <c r="E69" s="20" t="s">
        <v>292</v>
      </c>
      <c r="F69" s="20">
        <v>30000</v>
      </c>
      <c r="G69" s="20">
        <v>10000</v>
      </c>
      <c r="H69" s="20">
        <v>15000</v>
      </c>
      <c r="I69" s="20">
        <v>10000</v>
      </c>
      <c r="J69" s="22">
        <v>5000</v>
      </c>
      <c r="K69" s="20">
        <f t="shared" si="1"/>
        <v>70000</v>
      </c>
      <c r="L69" s="20">
        <f t="shared" si="2"/>
        <v>840000</v>
      </c>
      <c r="M69" s="20">
        <v>192358</v>
      </c>
      <c r="N69" s="20">
        <f t="shared" si="3"/>
        <v>647642</v>
      </c>
    </row>
    <row r="70" spans="1:14" ht="18" x14ac:dyDescent="0.35">
      <c r="A70" s="18">
        <v>1050</v>
      </c>
      <c r="B70" s="19" t="s">
        <v>75</v>
      </c>
      <c r="C70" s="20" t="s">
        <v>290</v>
      </c>
      <c r="D70" s="20" t="s">
        <v>297</v>
      </c>
      <c r="E70" s="20" t="s">
        <v>291</v>
      </c>
      <c r="F70" s="20">
        <v>30000</v>
      </c>
      <c r="G70" s="20">
        <v>0</v>
      </c>
      <c r="H70" s="20">
        <v>15000</v>
      </c>
      <c r="I70" s="20">
        <v>10000</v>
      </c>
      <c r="J70" s="22">
        <v>5000</v>
      </c>
      <c r="K70" s="20">
        <f t="shared" si="1"/>
        <v>60000</v>
      </c>
      <c r="L70" s="20">
        <f t="shared" si="2"/>
        <v>720000</v>
      </c>
      <c r="M70" s="20">
        <v>115328</v>
      </c>
      <c r="N70" s="20">
        <f t="shared" si="3"/>
        <v>604672</v>
      </c>
    </row>
    <row r="71" spans="1:14" ht="18" x14ac:dyDescent="0.35">
      <c r="A71" s="18">
        <v>1051</v>
      </c>
      <c r="B71" s="19" t="s">
        <v>77</v>
      </c>
      <c r="C71" s="20" t="s">
        <v>289</v>
      </c>
      <c r="D71" s="20" t="s">
        <v>297</v>
      </c>
      <c r="E71" s="20" t="s">
        <v>291</v>
      </c>
      <c r="F71" s="20">
        <v>30000</v>
      </c>
      <c r="G71" s="20">
        <v>0</v>
      </c>
      <c r="H71" s="20">
        <v>15000</v>
      </c>
      <c r="I71" s="20">
        <v>10000</v>
      </c>
      <c r="J71" s="22">
        <v>5000</v>
      </c>
      <c r="K71" s="20">
        <f t="shared" si="1"/>
        <v>60000</v>
      </c>
      <c r="L71" s="20">
        <f t="shared" si="2"/>
        <v>720000</v>
      </c>
      <c r="M71" s="20">
        <v>720000</v>
      </c>
      <c r="N71" s="20">
        <f t="shared" si="3"/>
        <v>0</v>
      </c>
    </row>
    <row r="72" spans="1:14" ht="18" x14ac:dyDescent="0.35">
      <c r="A72" s="18">
        <v>1052</v>
      </c>
      <c r="B72" s="19" t="s">
        <v>78</v>
      </c>
      <c r="C72" s="20" t="s">
        <v>289</v>
      </c>
      <c r="D72" s="20" t="s">
        <v>297</v>
      </c>
      <c r="E72" s="20" t="s">
        <v>292</v>
      </c>
      <c r="F72" s="20">
        <v>30000</v>
      </c>
      <c r="G72" s="20">
        <v>10000</v>
      </c>
      <c r="H72" s="20">
        <v>15000</v>
      </c>
      <c r="I72" s="20">
        <v>10000</v>
      </c>
      <c r="J72" s="22">
        <v>5000</v>
      </c>
      <c r="K72" s="20">
        <f t="shared" si="1"/>
        <v>70000</v>
      </c>
      <c r="L72" s="20">
        <f t="shared" si="2"/>
        <v>840000</v>
      </c>
      <c r="M72" s="20">
        <v>84000</v>
      </c>
      <c r="N72" s="20">
        <f t="shared" si="3"/>
        <v>756000</v>
      </c>
    </row>
    <row r="73" spans="1:14" ht="18" x14ac:dyDescent="0.35">
      <c r="A73" s="18">
        <v>1053</v>
      </c>
      <c r="B73" s="19" t="s">
        <v>79</v>
      </c>
      <c r="C73" s="20" t="s">
        <v>289</v>
      </c>
      <c r="D73" s="20" t="s">
        <v>297</v>
      </c>
      <c r="E73" s="20" t="s">
        <v>291</v>
      </c>
      <c r="F73" s="20">
        <v>30000</v>
      </c>
      <c r="G73" s="20">
        <v>0</v>
      </c>
      <c r="H73" s="20">
        <v>15000</v>
      </c>
      <c r="I73" s="20">
        <v>10000</v>
      </c>
      <c r="J73" s="22">
        <v>5000</v>
      </c>
      <c r="K73" s="20">
        <f t="shared" si="1"/>
        <v>60000</v>
      </c>
      <c r="L73" s="20">
        <f t="shared" si="2"/>
        <v>720000</v>
      </c>
      <c r="M73" s="20">
        <v>180761</v>
      </c>
      <c r="N73" s="20">
        <f t="shared" si="3"/>
        <v>539239</v>
      </c>
    </row>
    <row r="74" spans="1:14" ht="18" x14ac:dyDescent="0.35">
      <c r="A74" s="18">
        <v>1054</v>
      </c>
      <c r="B74" s="19" t="s">
        <v>80</v>
      </c>
      <c r="C74" s="20" t="s">
        <v>289</v>
      </c>
      <c r="D74" s="20" t="s">
        <v>297</v>
      </c>
      <c r="E74" s="20" t="s">
        <v>291</v>
      </c>
      <c r="F74" s="20">
        <v>30000</v>
      </c>
      <c r="G74" s="20">
        <v>0</v>
      </c>
      <c r="H74" s="20">
        <v>15000</v>
      </c>
      <c r="I74" s="20">
        <v>10000</v>
      </c>
      <c r="J74" s="22">
        <v>5000</v>
      </c>
      <c r="K74" s="20">
        <f t="shared" si="1"/>
        <v>60000</v>
      </c>
      <c r="L74" s="20">
        <f t="shared" si="2"/>
        <v>720000</v>
      </c>
      <c r="M74" s="20">
        <v>195559</v>
      </c>
      <c r="N74" s="20">
        <f t="shared" si="3"/>
        <v>524441</v>
      </c>
    </row>
    <row r="75" spans="1:14" ht="18" x14ac:dyDescent="0.35">
      <c r="A75" s="18">
        <v>1055</v>
      </c>
      <c r="B75" s="19" t="s">
        <v>81</v>
      </c>
      <c r="C75" s="20" t="s">
        <v>290</v>
      </c>
      <c r="D75" s="20" t="s">
        <v>298</v>
      </c>
      <c r="E75" s="20" t="s">
        <v>292</v>
      </c>
      <c r="F75" s="20">
        <v>35000</v>
      </c>
      <c r="G75" s="20">
        <v>10000</v>
      </c>
      <c r="H75" s="20">
        <v>15000</v>
      </c>
      <c r="I75" s="20">
        <v>10000</v>
      </c>
      <c r="J75" s="22">
        <v>5000</v>
      </c>
      <c r="K75" s="20">
        <f t="shared" si="1"/>
        <v>75000</v>
      </c>
      <c r="L75" s="20">
        <f t="shared" si="2"/>
        <v>900000</v>
      </c>
      <c r="M75" s="20">
        <v>800000</v>
      </c>
      <c r="N75" s="20">
        <f t="shared" si="3"/>
        <v>100000</v>
      </c>
    </row>
    <row r="76" spans="1:14" ht="18" x14ac:dyDescent="0.35">
      <c r="A76" s="18">
        <v>1056</v>
      </c>
      <c r="B76" s="19" t="s">
        <v>82</v>
      </c>
      <c r="C76" s="20" t="s">
        <v>290</v>
      </c>
      <c r="D76" s="20" t="s">
        <v>298</v>
      </c>
      <c r="E76" s="20" t="s">
        <v>292</v>
      </c>
      <c r="F76" s="20">
        <v>35000</v>
      </c>
      <c r="G76" s="20">
        <v>10000</v>
      </c>
      <c r="H76" s="20">
        <v>15000</v>
      </c>
      <c r="I76" s="20">
        <v>10000</v>
      </c>
      <c r="J76" s="22">
        <v>5000</v>
      </c>
      <c r="K76" s="20">
        <f t="shared" si="1"/>
        <v>75000</v>
      </c>
      <c r="L76" s="20">
        <f t="shared" si="2"/>
        <v>900000</v>
      </c>
      <c r="M76" s="20">
        <v>751205</v>
      </c>
      <c r="N76" s="20">
        <f t="shared" si="3"/>
        <v>148795</v>
      </c>
    </row>
    <row r="77" spans="1:14" ht="18" x14ac:dyDescent="0.35">
      <c r="A77" s="18">
        <v>1057</v>
      </c>
      <c r="B77" s="19" t="s">
        <v>83</v>
      </c>
      <c r="C77" s="20" t="s">
        <v>290</v>
      </c>
      <c r="D77" s="20" t="s">
        <v>298</v>
      </c>
      <c r="E77" s="20" t="s">
        <v>291</v>
      </c>
      <c r="F77" s="20">
        <v>35000</v>
      </c>
      <c r="G77" s="20">
        <v>0</v>
      </c>
      <c r="H77" s="20">
        <v>15000</v>
      </c>
      <c r="I77" s="20">
        <v>10000</v>
      </c>
      <c r="J77" s="22">
        <v>5000</v>
      </c>
      <c r="K77" s="20">
        <f t="shared" si="1"/>
        <v>65000</v>
      </c>
      <c r="L77" s="20">
        <f t="shared" si="2"/>
        <v>780000</v>
      </c>
      <c r="M77" s="20">
        <v>599894</v>
      </c>
      <c r="N77" s="20">
        <f t="shared" si="3"/>
        <v>180106</v>
      </c>
    </row>
    <row r="78" spans="1:14" ht="18" x14ac:dyDescent="0.35">
      <c r="A78" s="18">
        <v>1058</v>
      </c>
      <c r="B78" s="19" t="s">
        <v>84</v>
      </c>
      <c r="C78" s="20" t="s">
        <v>290</v>
      </c>
      <c r="D78" s="20" t="s">
        <v>298</v>
      </c>
      <c r="E78" s="20" t="s">
        <v>292</v>
      </c>
      <c r="F78" s="20">
        <v>35000</v>
      </c>
      <c r="G78" s="20">
        <v>10000</v>
      </c>
      <c r="H78" s="20">
        <v>15000</v>
      </c>
      <c r="I78" s="20">
        <v>10000</v>
      </c>
      <c r="J78" s="22">
        <v>5000</v>
      </c>
      <c r="K78" s="20">
        <f t="shared" si="1"/>
        <v>75000</v>
      </c>
      <c r="L78" s="20">
        <f t="shared" si="2"/>
        <v>900000</v>
      </c>
      <c r="M78" s="20">
        <v>900000</v>
      </c>
      <c r="N78" s="20">
        <f t="shared" si="3"/>
        <v>0</v>
      </c>
    </row>
    <row r="79" spans="1:14" ht="18" x14ac:dyDescent="0.35">
      <c r="A79" s="18">
        <v>1059</v>
      </c>
      <c r="B79" s="19" t="s">
        <v>85</v>
      </c>
      <c r="C79" s="20" t="s">
        <v>289</v>
      </c>
      <c r="D79" s="20" t="s">
        <v>298</v>
      </c>
      <c r="E79" s="20" t="s">
        <v>291</v>
      </c>
      <c r="F79" s="20">
        <v>35000</v>
      </c>
      <c r="G79" s="20">
        <v>0</v>
      </c>
      <c r="H79" s="20">
        <v>15000</v>
      </c>
      <c r="I79" s="20">
        <v>10000</v>
      </c>
      <c r="J79" s="22">
        <v>5000</v>
      </c>
      <c r="K79" s="20">
        <f t="shared" si="1"/>
        <v>65000</v>
      </c>
      <c r="L79" s="20">
        <f t="shared" si="2"/>
        <v>780000</v>
      </c>
      <c r="M79" s="20">
        <v>211671</v>
      </c>
      <c r="N79" s="20">
        <f t="shared" si="3"/>
        <v>568329</v>
      </c>
    </row>
    <row r="80" spans="1:14" ht="18" x14ac:dyDescent="0.35">
      <c r="A80" s="18">
        <v>1060</v>
      </c>
      <c r="B80" s="19" t="s">
        <v>86</v>
      </c>
      <c r="C80" s="20" t="s">
        <v>289</v>
      </c>
      <c r="D80" s="20" t="s">
        <v>298</v>
      </c>
      <c r="E80" s="20" t="s">
        <v>292</v>
      </c>
      <c r="F80" s="20">
        <v>35000</v>
      </c>
      <c r="G80" s="20">
        <v>10000</v>
      </c>
      <c r="H80" s="20">
        <v>15000</v>
      </c>
      <c r="I80" s="20">
        <v>10000</v>
      </c>
      <c r="J80" s="22">
        <v>5000</v>
      </c>
      <c r="K80" s="20">
        <f t="shared" si="1"/>
        <v>75000</v>
      </c>
      <c r="L80" s="20">
        <f t="shared" si="2"/>
        <v>900000</v>
      </c>
      <c r="M80" s="20">
        <v>845231</v>
      </c>
      <c r="N80" s="20">
        <f t="shared" si="3"/>
        <v>54769</v>
      </c>
    </row>
    <row r="81" spans="1:14" ht="18" x14ac:dyDescent="0.35">
      <c r="A81" s="18">
        <v>1061</v>
      </c>
      <c r="B81" s="19" t="s">
        <v>87</v>
      </c>
      <c r="C81" s="20" t="s">
        <v>289</v>
      </c>
      <c r="D81" s="20" t="s">
        <v>298</v>
      </c>
      <c r="E81" s="20" t="s">
        <v>292</v>
      </c>
      <c r="F81" s="20">
        <v>35000</v>
      </c>
      <c r="G81" s="20">
        <v>10000</v>
      </c>
      <c r="H81" s="20">
        <v>15000</v>
      </c>
      <c r="I81" s="20">
        <v>10000</v>
      </c>
      <c r="J81" s="22">
        <v>5000</v>
      </c>
      <c r="K81" s="20">
        <f t="shared" si="1"/>
        <v>75000</v>
      </c>
      <c r="L81" s="20">
        <f t="shared" si="2"/>
        <v>900000</v>
      </c>
      <c r="M81" s="20">
        <v>501177</v>
      </c>
      <c r="N81" s="20">
        <f t="shared" si="3"/>
        <v>398823</v>
      </c>
    </row>
    <row r="82" spans="1:14" ht="18" x14ac:dyDescent="0.35">
      <c r="A82" s="18">
        <v>1062</v>
      </c>
      <c r="B82" s="19" t="s">
        <v>88</v>
      </c>
      <c r="C82" s="20" t="s">
        <v>289</v>
      </c>
      <c r="D82" s="20" t="s">
        <v>298</v>
      </c>
      <c r="E82" s="20" t="s">
        <v>292</v>
      </c>
      <c r="F82" s="20">
        <v>35000</v>
      </c>
      <c r="G82" s="20">
        <v>10000</v>
      </c>
      <c r="H82" s="20">
        <v>15000</v>
      </c>
      <c r="I82" s="20">
        <v>10000</v>
      </c>
      <c r="J82" s="22">
        <v>5000</v>
      </c>
      <c r="K82" s="20">
        <f t="shared" si="1"/>
        <v>75000</v>
      </c>
      <c r="L82" s="20">
        <f t="shared" si="2"/>
        <v>900000</v>
      </c>
      <c r="M82" s="20">
        <v>900000</v>
      </c>
      <c r="N82" s="20">
        <f t="shared" si="3"/>
        <v>0</v>
      </c>
    </row>
    <row r="83" spans="1:14" ht="18" x14ac:dyDescent="0.35">
      <c r="A83" s="18">
        <v>1063</v>
      </c>
      <c r="B83" s="19" t="s">
        <v>89</v>
      </c>
      <c r="C83" s="20" t="s">
        <v>289</v>
      </c>
      <c r="D83" s="20" t="s">
        <v>298</v>
      </c>
      <c r="E83" s="20" t="s">
        <v>291</v>
      </c>
      <c r="F83" s="20">
        <v>35000</v>
      </c>
      <c r="G83" s="20">
        <v>0</v>
      </c>
      <c r="H83" s="20">
        <v>15000</v>
      </c>
      <c r="I83" s="20">
        <v>10000</v>
      </c>
      <c r="J83" s="22">
        <v>5000</v>
      </c>
      <c r="K83" s="20">
        <f t="shared" si="1"/>
        <v>65000</v>
      </c>
      <c r="L83" s="20">
        <f t="shared" si="2"/>
        <v>780000</v>
      </c>
      <c r="M83" s="20">
        <v>157716</v>
      </c>
      <c r="N83" s="20">
        <f t="shared" si="3"/>
        <v>622284</v>
      </c>
    </row>
    <row r="84" spans="1:14" ht="18" x14ac:dyDescent="0.35">
      <c r="A84" s="18">
        <v>1064</v>
      </c>
      <c r="B84" s="19" t="s">
        <v>90</v>
      </c>
      <c r="C84" s="20" t="s">
        <v>289</v>
      </c>
      <c r="D84" s="20" t="s">
        <v>298</v>
      </c>
      <c r="E84" s="20" t="s">
        <v>292</v>
      </c>
      <c r="F84" s="20">
        <v>35000</v>
      </c>
      <c r="G84" s="20">
        <v>10000</v>
      </c>
      <c r="H84" s="20">
        <v>15000</v>
      </c>
      <c r="I84" s="20">
        <v>10000</v>
      </c>
      <c r="J84" s="22">
        <v>5000</v>
      </c>
      <c r="K84" s="20">
        <f t="shared" si="1"/>
        <v>75000</v>
      </c>
      <c r="L84" s="20">
        <f t="shared" si="2"/>
        <v>900000</v>
      </c>
      <c r="M84" s="20">
        <v>758884</v>
      </c>
      <c r="N84" s="20">
        <f t="shared" si="3"/>
        <v>141116</v>
      </c>
    </row>
    <row r="85" spans="1:14" ht="18" x14ac:dyDescent="0.35">
      <c r="A85" s="18">
        <v>1065</v>
      </c>
      <c r="B85" s="19" t="s">
        <v>91</v>
      </c>
      <c r="C85" s="20" t="s">
        <v>290</v>
      </c>
      <c r="D85" s="20" t="s">
        <v>298</v>
      </c>
      <c r="E85" s="20" t="s">
        <v>292</v>
      </c>
      <c r="F85" s="20">
        <v>35000</v>
      </c>
      <c r="G85" s="20">
        <v>10000</v>
      </c>
      <c r="H85" s="20">
        <v>15000</v>
      </c>
      <c r="I85" s="20">
        <v>10000</v>
      </c>
      <c r="J85" s="22">
        <v>5000</v>
      </c>
      <c r="K85" s="20">
        <f t="shared" si="1"/>
        <v>75000</v>
      </c>
      <c r="L85" s="20">
        <f t="shared" si="2"/>
        <v>900000</v>
      </c>
      <c r="M85" s="20">
        <v>583048</v>
      </c>
      <c r="N85" s="20">
        <f t="shared" si="3"/>
        <v>316952</v>
      </c>
    </row>
    <row r="86" spans="1:14" ht="18" x14ac:dyDescent="0.35">
      <c r="A86" s="18">
        <v>1066</v>
      </c>
      <c r="B86" s="19" t="s">
        <v>92</v>
      </c>
      <c r="C86" s="20" t="s">
        <v>289</v>
      </c>
      <c r="D86" s="20" t="s">
        <v>298</v>
      </c>
      <c r="E86" s="20" t="s">
        <v>292</v>
      </c>
      <c r="F86" s="20">
        <v>35000</v>
      </c>
      <c r="G86" s="20">
        <v>10000</v>
      </c>
      <c r="H86" s="20">
        <v>15000</v>
      </c>
      <c r="I86" s="20">
        <v>10000</v>
      </c>
      <c r="J86" s="22">
        <v>5000</v>
      </c>
      <c r="K86" s="20">
        <f t="shared" ref="K86:K149" si="4">SUM(F86:J86)</f>
        <v>75000</v>
      </c>
      <c r="L86" s="20">
        <f t="shared" ref="L86:L149" si="5">SUM(K86)*12</f>
        <v>900000</v>
      </c>
      <c r="M86" s="20">
        <v>155494</v>
      </c>
      <c r="N86" s="20">
        <f t="shared" ref="N86:N149" si="6">L86-M86</f>
        <v>744506</v>
      </c>
    </row>
    <row r="87" spans="1:14" ht="18" x14ac:dyDescent="0.35">
      <c r="A87" s="18">
        <v>1067</v>
      </c>
      <c r="B87" s="19" t="s">
        <v>93</v>
      </c>
      <c r="C87" s="20" t="s">
        <v>289</v>
      </c>
      <c r="D87" s="20" t="s">
        <v>298</v>
      </c>
      <c r="E87" s="20" t="s">
        <v>291</v>
      </c>
      <c r="F87" s="20">
        <v>35000</v>
      </c>
      <c r="G87" s="20">
        <v>0</v>
      </c>
      <c r="H87" s="20">
        <v>15000</v>
      </c>
      <c r="I87" s="20">
        <v>10000</v>
      </c>
      <c r="J87" s="22">
        <v>5000</v>
      </c>
      <c r="K87" s="20">
        <f t="shared" si="4"/>
        <v>65000</v>
      </c>
      <c r="L87" s="20">
        <f t="shared" si="5"/>
        <v>780000</v>
      </c>
      <c r="M87" s="20">
        <v>131911</v>
      </c>
      <c r="N87" s="20">
        <f t="shared" si="6"/>
        <v>648089</v>
      </c>
    </row>
    <row r="88" spans="1:14" ht="18" x14ac:dyDescent="0.35">
      <c r="A88" s="18">
        <v>1068</v>
      </c>
      <c r="B88" s="19" t="s">
        <v>94</v>
      </c>
      <c r="C88" s="20" t="s">
        <v>289</v>
      </c>
      <c r="D88" s="20" t="s">
        <v>298</v>
      </c>
      <c r="E88" s="20" t="s">
        <v>291</v>
      </c>
      <c r="F88" s="20">
        <v>35000</v>
      </c>
      <c r="G88" s="20">
        <v>0</v>
      </c>
      <c r="H88" s="20">
        <v>15000</v>
      </c>
      <c r="I88" s="20">
        <v>10000</v>
      </c>
      <c r="J88" s="22">
        <v>5000</v>
      </c>
      <c r="K88" s="20">
        <f t="shared" si="4"/>
        <v>65000</v>
      </c>
      <c r="L88" s="20">
        <f t="shared" si="5"/>
        <v>780000</v>
      </c>
      <c r="M88" s="20">
        <v>602282</v>
      </c>
      <c r="N88" s="20">
        <f t="shared" si="6"/>
        <v>177718</v>
      </c>
    </row>
    <row r="89" spans="1:14" ht="18" x14ac:dyDescent="0.35">
      <c r="A89" s="18">
        <v>1069</v>
      </c>
      <c r="B89" s="19" t="s">
        <v>95</v>
      </c>
      <c r="C89" s="20" t="s">
        <v>290</v>
      </c>
      <c r="D89" s="20" t="s">
        <v>298</v>
      </c>
      <c r="E89" s="20" t="s">
        <v>292</v>
      </c>
      <c r="F89" s="20">
        <v>35000</v>
      </c>
      <c r="G89" s="20">
        <v>10000</v>
      </c>
      <c r="H89" s="20">
        <v>15000</v>
      </c>
      <c r="I89" s="20">
        <v>10000</v>
      </c>
      <c r="J89" s="22">
        <v>5000</v>
      </c>
      <c r="K89" s="20">
        <f t="shared" si="4"/>
        <v>75000</v>
      </c>
      <c r="L89" s="20">
        <f t="shared" si="5"/>
        <v>900000</v>
      </c>
      <c r="M89" s="20">
        <v>509956</v>
      </c>
      <c r="N89" s="20">
        <f t="shared" si="6"/>
        <v>390044</v>
      </c>
    </row>
    <row r="90" spans="1:14" ht="18" x14ac:dyDescent="0.35">
      <c r="A90" s="18">
        <v>1070</v>
      </c>
      <c r="B90" s="19" t="s">
        <v>96</v>
      </c>
      <c r="C90" s="20" t="s">
        <v>290</v>
      </c>
      <c r="D90" s="20" t="s">
        <v>298</v>
      </c>
      <c r="E90" s="20" t="s">
        <v>291</v>
      </c>
      <c r="F90" s="20">
        <v>35000</v>
      </c>
      <c r="G90" s="20">
        <v>0</v>
      </c>
      <c r="H90" s="20">
        <v>15000</v>
      </c>
      <c r="I90" s="20">
        <v>10000</v>
      </c>
      <c r="J90" s="22">
        <v>5000</v>
      </c>
      <c r="K90" s="20">
        <f t="shared" si="4"/>
        <v>65000</v>
      </c>
      <c r="L90" s="20">
        <f t="shared" si="5"/>
        <v>780000</v>
      </c>
      <c r="M90" s="20">
        <v>620276</v>
      </c>
      <c r="N90" s="20">
        <f t="shared" si="6"/>
        <v>159724</v>
      </c>
    </row>
    <row r="91" spans="1:14" ht="18" x14ac:dyDescent="0.35">
      <c r="A91" s="18">
        <v>1071</v>
      </c>
      <c r="B91" s="19" t="s">
        <v>97</v>
      </c>
      <c r="C91" s="20" t="s">
        <v>289</v>
      </c>
      <c r="D91" s="20" t="s">
        <v>298</v>
      </c>
      <c r="E91" s="20" t="s">
        <v>292</v>
      </c>
      <c r="F91" s="20">
        <v>35000</v>
      </c>
      <c r="G91" s="20">
        <v>10000</v>
      </c>
      <c r="H91" s="20">
        <v>15000</v>
      </c>
      <c r="I91" s="20">
        <v>10000</v>
      </c>
      <c r="J91" s="22">
        <v>5000</v>
      </c>
      <c r="K91" s="20">
        <f t="shared" si="4"/>
        <v>75000</v>
      </c>
      <c r="L91" s="20">
        <f t="shared" si="5"/>
        <v>900000</v>
      </c>
      <c r="M91" s="20">
        <v>97639</v>
      </c>
      <c r="N91" s="20">
        <f t="shared" si="6"/>
        <v>802361</v>
      </c>
    </row>
    <row r="92" spans="1:14" ht="18" x14ac:dyDescent="0.35">
      <c r="A92" s="18">
        <v>1072</v>
      </c>
      <c r="B92" s="19" t="s">
        <v>98</v>
      </c>
      <c r="C92" s="20" t="s">
        <v>289</v>
      </c>
      <c r="D92" s="20" t="s">
        <v>298</v>
      </c>
      <c r="E92" s="20" t="s">
        <v>291</v>
      </c>
      <c r="F92" s="20">
        <v>35000</v>
      </c>
      <c r="G92" s="20">
        <v>0</v>
      </c>
      <c r="H92" s="20">
        <v>15000</v>
      </c>
      <c r="I92" s="20">
        <v>10000</v>
      </c>
      <c r="J92" s="22">
        <v>5000</v>
      </c>
      <c r="K92" s="20">
        <f t="shared" si="4"/>
        <v>65000</v>
      </c>
      <c r="L92" s="20">
        <f t="shared" si="5"/>
        <v>780000</v>
      </c>
      <c r="M92" s="20">
        <v>43383</v>
      </c>
      <c r="N92" s="20">
        <f t="shared" si="6"/>
        <v>736617</v>
      </c>
    </row>
    <row r="93" spans="1:14" ht="18" x14ac:dyDescent="0.35">
      <c r="A93" s="18">
        <v>1073</v>
      </c>
      <c r="B93" s="19" t="s">
        <v>99</v>
      </c>
      <c r="C93" s="20" t="s">
        <v>289</v>
      </c>
      <c r="D93" s="20" t="s">
        <v>309</v>
      </c>
      <c r="E93" s="20" t="s">
        <v>291</v>
      </c>
      <c r="F93" s="20">
        <v>40000</v>
      </c>
      <c r="G93" s="20">
        <v>0</v>
      </c>
      <c r="H93" s="20">
        <v>15000</v>
      </c>
      <c r="I93" s="20">
        <v>10000</v>
      </c>
      <c r="J93" s="22">
        <v>5000</v>
      </c>
      <c r="K93" s="20">
        <f t="shared" si="4"/>
        <v>70000</v>
      </c>
      <c r="L93" s="20">
        <f t="shared" si="5"/>
        <v>840000</v>
      </c>
      <c r="M93" s="20">
        <v>332061</v>
      </c>
      <c r="N93" s="20">
        <f t="shared" si="6"/>
        <v>507939</v>
      </c>
    </row>
    <row r="94" spans="1:14" ht="18" x14ac:dyDescent="0.35">
      <c r="A94" s="18">
        <v>1074</v>
      </c>
      <c r="B94" s="19" t="s">
        <v>100</v>
      </c>
      <c r="C94" s="20" t="s">
        <v>289</v>
      </c>
      <c r="D94" s="20" t="s">
        <v>309</v>
      </c>
      <c r="E94" s="20" t="s">
        <v>292</v>
      </c>
      <c r="F94" s="20">
        <v>40000</v>
      </c>
      <c r="G94" s="20">
        <v>10000</v>
      </c>
      <c r="H94" s="20">
        <v>15000</v>
      </c>
      <c r="I94" s="20">
        <v>10000</v>
      </c>
      <c r="J94" s="22">
        <v>5000</v>
      </c>
      <c r="K94" s="20">
        <f t="shared" si="4"/>
        <v>80000</v>
      </c>
      <c r="L94" s="20">
        <f t="shared" si="5"/>
        <v>960000</v>
      </c>
      <c r="M94" s="20">
        <v>452904</v>
      </c>
      <c r="N94" s="20">
        <f t="shared" si="6"/>
        <v>507096</v>
      </c>
    </row>
    <row r="95" spans="1:14" ht="18" x14ac:dyDescent="0.35">
      <c r="A95" s="18">
        <v>1075</v>
      </c>
      <c r="B95" s="19" t="s">
        <v>101</v>
      </c>
      <c r="C95" s="20" t="s">
        <v>289</v>
      </c>
      <c r="D95" s="20" t="s">
        <v>309</v>
      </c>
      <c r="E95" s="20" t="s">
        <v>291</v>
      </c>
      <c r="F95" s="20">
        <v>40000</v>
      </c>
      <c r="G95" s="20">
        <v>0</v>
      </c>
      <c r="H95" s="20">
        <v>15000</v>
      </c>
      <c r="I95" s="20">
        <v>10000</v>
      </c>
      <c r="J95" s="22">
        <v>5000</v>
      </c>
      <c r="K95" s="20">
        <f t="shared" si="4"/>
        <v>70000</v>
      </c>
      <c r="L95" s="20">
        <f t="shared" si="5"/>
        <v>840000</v>
      </c>
      <c r="M95" s="20">
        <v>363226</v>
      </c>
      <c r="N95" s="20">
        <f t="shared" si="6"/>
        <v>476774</v>
      </c>
    </row>
    <row r="96" spans="1:14" ht="18" x14ac:dyDescent="0.35">
      <c r="A96" s="18">
        <v>1076</v>
      </c>
      <c r="B96" s="19" t="s">
        <v>102</v>
      </c>
      <c r="C96" s="20" t="s">
        <v>289</v>
      </c>
      <c r="D96" s="20" t="s">
        <v>309</v>
      </c>
      <c r="E96" s="20" t="s">
        <v>291</v>
      </c>
      <c r="F96" s="20">
        <v>40000</v>
      </c>
      <c r="G96" s="20">
        <v>0</v>
      </c>
      <c r="H96" s="20">
        <v>15000</v>
      </c>
      <c r="I96" s="20">
        <v>10000</v>
      </c>
      <c r="J96" s="22">
        <v>5000</v>
      </c>
      <c r="K96" s="20">
        <f t="shared" si="4"/>
        <v>70000</v>
      </c>
      <c r="L96" s="20">
        <f t="shared" si="5"/>
        <v>840000</v>
      </c>
      <c r="M96" s="20">
        <v>613119</v>
      </c>
      <c r="N96" s="20">
        <f t="shared" si="6"/>
        <v>226881</v>
      </c>
    </row>
    <row r="97" spans="1:14" ht="18" x14ac:dyDescent="0.35">
      <c r="A97" s="18">
        <v>1077</v>
      </c>
      <c r="B97" s="19" t="s">
        <v>103</v>
      </c>
      <c r="C97" s="20" t="s">
        <v>290</v>
      </c>
      <c r="D97" s="20" t="s">
        <v>309</v>
      </c>
      <c r="E97" s="20" t="s">
        <v>292</v>
      </c>
      <c r="F97" s="20">
        <v>40000</v>
      </c>
      <c r="G97" s="20">
        <v>10000</v>
      </c>
      <c r="H97" s="20">
        <v>15000</v>
      </c>
      <c r="I97" s="20">
        <v>10000</v>
      </c>
      <c r="J97" s="22">
        <v>5000</v>
      </c>
      <c r="K97" s="20">
        <f t="shared" si="4"/>
        <v>80000</v>
      </c>
      <c r="L97" s="20">
        <f t="shared" si="5"/>
        <v>960000</v>
      </c>
      <c r="M97" s="20">
        <v>650265</v>
      </c>
      <c r="N97" s="20">
        <f t="shared" si="6"/>
        <v>309735</v>
      </c>
    </row>
    <row r="98" spans="1:14" ht="18" x14ac:dyDescent="0.35">
      <c r="A98" s="18">
        <v>1078</v>
      </c>
      <c r="B98" s="20" t="s">
        <v>104</v>
      </c>
      <c r="C98" s="20" t="s">
        <v>289</v>
      </c>
      <c r="D98" s="20" t="s">
        <v>309</v>
      </c>
      <c r="E98" s="20" t="s">
        <v>292</v>
      </c>
      <c r="F98" s="20">
        <v>40000</v>
      </c>
      <c r="G98" s="20">
        <v>10000</v>
      </c>
      <c r="H98" s="20">
        <v>15000</v>
      </c>
      <c r="I98" s="20">
        <v>10000</v>
      </c>
      <c r="J98" s="22">
        <v>5000</v>
      </c>
      <c r="K98" s="20">
        <f t="shared" si="4"/>
        <v>80000</v>
      </c>
      <c r="L98" s="20">
        <f t="shared" si="5"/>
        <v>960000</v>
      </c>
      <c r="M98" s="20">
        <v>362106</v>
      </c>
      <c r="N98" s="20">
        <f t="shared" si="6"/>
        <v>597894</v>
      </c>
    </row>
    <row r="99" spans="1:14" ht="18" x14ac:dyDescent="0.35">
      <c r="A99" s="18">
        <v>1079</v>
      </c>
      <c r="B99" s="20" t="s">
        <v>105</v>
      </c>
      <c r="C99" s="20" t="s">
        <v>290</v>
      </c>
      <c r="D99" s="20" t="s">
        <v>309</v>
      </c>
      <c r="E99" s="20" t="s">
        <v>291</v>
      </c>
      <c r="F99" s="20">
        <v>40000</v>
      </c>
      <c r="G99" s="20">
        <v>0</v>
      </c>
      <c r="H99" s="20">
        <v>15000</v>
      </c>
      <c r="I99" s="20">
        <v>10000</v>
      </c>
      <c r="J99" s="22">
        <v>5000</v>
      </c>
      <c r="K99" s="20">
        <f t="shared" si="4"/>
        <v>70000</v>
      </c>
      <c r="L99" s="20">
        <f t="shared" si="5"/>
        <v>840000</v>
      </c>
      <c r="M99" s="20">
        <v>450356</v>
      </c>
      <c r="N99" s="20">
        <f t="shared" si="6"/>
        <v>389644</v>
      </c>
    </row>
    <row r="100" spans="1:14" ht="18" x14ac:dyDescent="0.35">
      <c r="A100" s="18">
        <v>1080</v>
      </c>
      <c r="B100" s="20" t="s">
        <v>106</v>
      </c>
      <c r="C100" s="20" t="s">
        <v>289</v>
      </c>
      <c r="D100" s="20" t="s">
        <v>309</v>
      </c>
      <c r="E100" s="20" t="s">
        <v>291</v>
      </c>
      <c r="F100" s="20">
        <v>40000</v>
      </c>
      <c r="G100" s="20">
        <v>0</v>
      </c>
      <c r="H100" s="20">
        <v>15000</v>
      </c>
      <c r="I100" s="20">
        <v>10000</v>
      </c>
      <c r="J100" s="22">
        <v>5000</v>
      </c>
      <c r="K100" s="20">
        <f t="shared" si="4"/>
        <v>70000</v>
      </c>
      <c r="L100" s="20">
        <f t="shared" si="5"/>
        <v>840000</v>
      </c>
      <c r="M100" s="20">
        <v>356868</v>
      </c>
      <c r="N100" s="20">
        <f t="shared" si="6"/>
        <v>483132</v>
      </c>
    </row>
    <row r="101" spans="1:14" ht="18" x14ac:dyDescent="0.35">
      <c r="A101" s="18">
        <v>1081</v>
      </c>
      <c r="B101" s="20" t="s">
        <v>107</v>
      </c>
      <c r="C101" s="20" t="s">
        <v>290</v>
      </c>
      <c r="D101" s="20" t="s">
        <v>309</v>
      </c>
      <c r="E101" s="20" t="s">
        <v>291</v>
      </c>
      <c r="F101" s="20">
        <v>40000</v>
      </c>
      <c r="G101" s="20">
        <v>0</v>
      </c>
      <c r="H101" s="20">
        <v>15000</v>
      </c>
      <c r="I101" s="20">
        <v>10000</v>
      </c>
      <c r="J101" s="22">
        <v>5000</v>
      </c>
      <c r="K101" s="20">
        <f t="shared" si="4"/>
        <v>70000</v>
      </c>
      <c r="L101" s="20">
        <f t="shared" si="5"/>
        <v>840000</v>
      </c>
      <c r="M101" s="20">
        <v>164364</v>
      </c>
      <c r="N101" s="20">
        <f t="shared" si="6"/>
        <v>675636</v>
      </c>
    </row>
    <row r="102" spans="1:14" ht="18" x14ac:dyDescent="0.35">
      <c r="A102" s="18">
        <v>1082</v>
      </c>
      <c r="B102" s="20" t="s">
        <v>108</v>
      </c>
      <c r="C102" s="20" t="s">
        <v>289</v>
      </c>
      <c r="D102" s="20" t="s">
        <v>309</v>
      </c>
      <c r="E102" s="20" t="s">
        <v>291</v>
      </c>
      <c r="F102" s="20">
        <v>40000</v>
      </c>
      <c r="G102" s="20">
        <v>0</v>
      </c>
      <c r="H102" s="20">
        <v>15000</v>
      </c>
      <c r="I102" s="20">
        <v>10000</v>
      </c>
      <c r="J102" s="22">
        <v>5000</v>
      </c>
      <c r="K102" s="20">
        <f t="shared" si="4"/>
        <v>70000</v>
      </c>
      <c r="L102" s="20">
        <f t="shared" si="5"/>
        <v>840000</v>
      </c>
      <c r="M102" s="20">
        <v>243574</v>
      </c>
      <c r="N102" s="20">
        <f t="shared" si="6"/>
        <v>596426</v>
      </c>
    </row>
    <row r="103" spans="1:14" ht="18" x14ac:dyDescent="0.35">
      <c r="A103" s="18">
        <v>1083</v>
      </c>
      <c r="B103" s="20" t="s">
        <v>109</v>
      </c>
      <c r="C103" s="20" t="s">
        <v>290</v>
      </c>
      <c r="D103" s="20" t="s">
        <v>309</v>
      </c>
      <c r="E103" s="20" t="s">
        <v>291</v>
      </c>
      <c r="F103" s="20">
        <v>40000</v>
      </c>
      <c r="G103" s="20">
        <v>0</v>
      </c>
      <c r="H103" s="20">
        <v>15000</v>
      </c>
      <c r="I103" s="20">
        <v>10000</v>
      </c>
      <c r="J103" s="22">
        <v>5000</v>
      </c>
      <c r="K103" s="20">
        <f t="shared" si="4"/>
        <v>70000</v>
      </c>
      <c r="L103" s="20">
        <f t="shared" si="5"/>
        <v>840000</v>
      </c>
      <c r="M103" s="20">
        <v>442104</v>
      </c>
      <c r="N103" s="20">
        <f t="shared" si="6"/>
        <v>397896</v>
      </c>
    </row>
    <row r="104" spans="1:14" ht="18" x14ac:dyDescent="0.35">
      <c r="A104" s="18">
        <v>1084</v>
      </c>
      <c r="B104" s="20" t="s">
        <v>110</v>
      </c>
      <c r="C104" s="20" t="s">
        <v>289</v>
      </c>
      <c r="D104" s="20" t="s">
        <v>309</v>
      </c>
      <c r="E104" s="20" t="s">
        <v>292</v>
      </c>
      <c r="F104" s="20">
        <v>40000</v>
      </c>
      <c r="G104" s="20">
        <v>10000</v>
      </c>
      <c r="H104" s="20">
        <v>15000</v>
      </c>
      <c r="I104" s="20">
        <v>10000</v>
      </c>
      <c r="J104" s="22">
        <v>5000</v>
      </c>
      <c r="K104" s="20">
        <f t="shared" si="4"/>
        <v>80000</v>
      </c>
      <c r="L104" s="20">
        <f t="shared" si="5"/>
        <v>960000</v>
      </c>
      <c r="M104" s="20">
        <v>286466</v>
      </c>
      <c r="N104" s="20">
        <f t="shared" si="6"/>
        <v>673534</v>
      </c>
    </row>
    <row r="105" spans="1:14" ht="18" x14ac:dyDescent="0.35">
      <c r="A105" s="18">
        <v>1085</v>
      </c>
      <c r="B105" s="20" t="s">
        <v>111</v>
      </c>
      <c r="C105" s="20" t="s">
        <v>290</v>
      </c>
      <c r="D105" s="20" t="s">
        <v>309</v>
      </c>
      <c r="E105" s="20" t="s">
        <v>291</v>
      </c>
      <c r="F105" s="20">
        <v>40000</v>
      </c>
      <c r="G105" s="20">
        <v>0</v>
      </c>
      <c r="H105" s="20">
        <v>15000</v>
      </c>
      <c r="I105" s="20">
        <v>10000</v>
      </c>
      <c r="J105" s="22">
        <v>5000</v>
      </c>
      <c r="K105" s="20">
        <f t="shared" si="4"/>
        <v>70000</v>
      </c>
      <c r="L105" s="20">
        <f t="shared" si="5"/>
        <v>840000</v>
      </c>
      <c r="M105" s="20">
        <v>800587</v>
      </c>
      <c r="N105" s="20">
        <f t="shared" si="6"/>
        <v>39413</v>
      </c>
    </row>
    <row r="106" spans="1:14" ht="18" x14ac:dyDescent="0.35">
      <c r="A106" s="18">
        <v>1086</v>
      </c>
      <c r="B106" s="20" t="s">
        <v>112</v>
      </c>
      <c r="C106" s="20" t="s">
        <v>289</v>
      </c>
      <c r="D106" s="20" t="s">
        <v>309</v>
      </c>
      <c r="E106" s="20" t="s">
        <v>292</v>
      </c>
      <c r="F106" s="20">
        <v>40000</v>
      </c>
      <c r="G106" s="20">
        <v>10000</v>
      </c>
      <c r="H106" s="20">
        <v>15000</v>
      </c>
      <c r="I106" s="20">
        <v>10000</v>
      </c>
      <c r="J106" s="22">
        <v>5000</v>
      </c>
      <c r="K106" s="20">
        <f t="shared" si="4"/>
        <v>80000</v>
      </c>
      <c r="L106" s="20">
        <f t="shared" si="5"/>
        <v>960000</v>
      </c>
      <c r="M106" s="20">
        <v>264257</v>
      </c>
      <c r="N106" s="20">
        <f t="shared" si="6"/>
        <v>695743</v>
      </c>
    </row>
    <row r="107" spans="1:14" ht="18" x14ac:dyDescent="0.35">
      <c r="A107" s="18">
        <v>1087</v>
      </c>
      <c r="B107" s="20" t="s">
        <v>113</v>
      </c>
      <c r="C107" s="20" t="s">
        <v>289</v>
      </c>
      <c r="D107" s="20" t="s">
        <v>309</v>
      </c>
      <c r="E107" s="20" t="s">
        <v>292</v>
      </c>
      <c r="F107" s="20">
        <v>40000</v>
      </c>
      <c r="G107" s="20">
        <v>10000</v>
      </c>
      <c r="H107" s="20">
        <v>15000</v>
      </c>
      <c r="I107" s="20">
        <v>10000</v>
      </c>
      <c r="J107" s="22">
        <v>5000</v>
      </c>
      <c r="K107" s="20">
        <f t="shared" si="4"/>
        <v>80000</v>
      </c>
      <c r="L107" s="20">
        <f t="shared" si="5"/>
        <v>960000</v>
      </c>
      <c r="M107" s="20">
        <v>337965</v>
      </c>
      <c r="N107" s="20">
        <f t="shared" si="6"/>
        <v>622035</v>
      </c>
    </row>
    <row r="108" spans="1:14" ht="18" x14ac:dyDescent="0.35">
      <c r="A108" s="18">
        <v>1088</v>
      </c>
      <c r="B108" s="20" t="s">
        <v>114</v>
      </c>
      <c r="C108" s="20" t="s">
        <v>289</v>
      </c>
      <c r="D108" s="20" t="s">
        <v>309</v>
      </c>
      <c r="E108" s="20" t="s">
        <v>292</v>
      </c>
      <c r="F108" s="20">
        <v>40000</v>
      </c>
      <c r="G108" s="20">
        <v>10000</v>
      </c>
      <c r="H108" s="20">
        <v>15000</v>
      </c>
      <c r="I108" s="20">
        <v>10000</v>
      </c>
      <c r="J108" s="22">
        <v>5000</v>
      </c>
      <c r="K108" s="20">
        <f t="shared" si="4"/>
        <v>80000</v>
      </c>
      <c r="L108" s="20">
        <f t="shared" si="5"/>
        <v>960000</v>
      </c>
      <c r="M108" s="20">
        <v>613954</v>
      </c>
      <c r="N108" s="20">
        <f t="shared" si="6"/>
        <v>346046</v>
      </c>
    </row>
    <row r="109" spans="1:14" ht="18" x14ac:dyDescent="0.35">
      <c r="A109" s="18">
        <v>1089</v>
      </c>
      <c r="B109" s="20" t="s">
        <v>115</v>
      </c>
      <c r="C109" s="20" t="s">
        <v>290</v>
      </c>
      <c r="D109" s="20" t="s">
        <v>309</v>
      </c>
      <c r="E109" s="20" t="s">
        <v>291</v>
      </c>
      <c r="F109" s="20">
        <v>40000</v>
      </c>
      <c r="G109" s="20">
        <v>0</v>
      </c>
      <c r="H109" s="20">
        <v>15000</v>
      </c>
      <c r="I109" s="20">
        <v>10000</v>
      </c>
      <c r="J109" s="22">
        <v>5000</v>
      </c>
      <c r="K109" s="20">
        <f t="shared" si="4"/>
        <v>70000</v>
      </c>
      <c r="L109" s="20">
        <f t="shared" si="5"/>
        <v>840000</v>
      </c>
      <c r="M109" s="20">
        <v>790964</v>
      </c>
      <c r="N109" s="20">
        <f t="shared" si="6"/>
        <v>49036</v>
      </c>
    </row>
    <row r="110" spans="1:14" ht="18" x14ac:dyDescent="0.35">
      <c r="A110" s="18">
        <v>1090</v>
      </c>
      <c r="B110" s="20" t="s">
        <v>116</v>
      </c>
      <c r="C110" s="20" t="s">
        <v>289</v>
      </c>
      <c r="D110" s="20" t="s">
        <v>309</v>
      </c>
      <c r="E110" s="20" t="s">
        <v>291</v>
      </c>
      <c r="F110" s="20">
        <v>40000</v>
      </c>
      <c r="G110" s="20">
        <v>0</v>
      </c>
      <c r="H110" s="20">
        <v>15000</v>
      </c>
      <c r="I110" s="20">
        <v>10000</v>
      </c>
      <c r="J110" s="22">
        <v>5000</v>
      </c>
      <c r="K110" s="20">
        <f t="shared" si="4"/>
        <v>70000</v>
      </c>
      <c r="L110" s="20">
        <f t="shared" si="5"/>
        <v>840000</v>
      </c>
      <c r="M110" s="20">
        <v>773494</v>
      </c>
      <c r="N110" s="20">
        <f t="shared" si="6"/>
        <v>66506</v>
      </c>
    </row>
    <row r="111" spans="1:14" ht="18" x14ac:dyDescent="0.35">
      <c r="A111" s="18">
        <v>1091</v>
      </c>
      <c r="B111" s="20" t="s">
        <v>117</v>
      </c>
      <c r="C111" s="20" t="s">
        <v>290</v>
      </c>
      <c r="D111" s="20" t="s">
        <v>299</v>
      </c>
      <c r="E111" s="20" t="s">
        <v>291</v>
      </c>
      <c r="F111" s="20">
        <v>45000</v>
      </c>
      <c r="G111" s="20">
        <v>0</v>
      </c>
      <c r="H111" s="20">
        <v>15000</v>
      </c>
      <c r="I111" s="20">
        <v>10000</v>
      </c>
      <c r="J111" s="22">
        <v>5000</v>
      </c>
      <c r="K111" s="20">
        <f t="shared" si="4"/>
        <v>75000</v>
      </c>
      <c r="L111" s="20">
        <f t="shared" si="5"/>
        <v>900000</v>
      </c>
      <c r="M111" s="20">
        <v>483183</v>
      </c>
      <c r="N111" s="20">
        <f t="shared" si="6"/>
        <v>416817</v>
      </c>
    </row>
    <row r="112" spans="1:14" ht="18" x14ac:dyDescent="0.35">
      <c r="A112" s="18">
        <v>1092</v>
      </c>
      <c r="B112" s="20" t="s">
        <v>142</v>
      </c>
      <c r="C112" s="20" t="s">
        <v>289</v>
      </c>
      <c r="D112" s="20" t="s">
        <v>299</v>
      </c>
      <c r="E112" s="20" t="s">
        <v>292</v>
      </c>
      <c r="F112" s="20">
        <v>45000</v>
      </c>
      <c r="G112" s="20">
        <v>10000</v>
      </c>
      <c r="H112" s="20">
        <v>15000</v>
      </c>
      <c r="I112" s="20">
        <v>10000</v>
      </c>
      <c r="J112" s="22">
        <v>5000</v>
      </c>
      <c r="K112" s="20">
        <f t="shared" si="4"/>
        <v>85000</v>
      </c>
      <c r="L112" s="20">
        <f t="shared" si="5"/>
        <v>1020000</v>
      </c>
      <c r="M112" s="20">
        <v>1020000</v>
      </c>
      <c r="N112" s="20">
        <f t="shared" si="6"/>
        <v>0</v>
      </c>
    </row>
    <row r="113" spans="1:14" ht="18" x14ac:dyDescent="0.35">
      <c r="A113" s="18">
        <v>1093</v>
      </c>
      <c r="B113" s="20" t="s">
        <v>118</v>
      </c>
      <c r="C113" s="20" t="s">
        <v>290</v>
      </c>
      <c r="D113" s="20" t="s">
        <v>299</v>
      </c>
      <c r="E113" s="20" t="s">
        <v>292</v>
      </c>
      <c r="F113" s="20">
        <v>45000</v>
      </c>
      <c r="G113" s="20">
        <v>10000</v>
      </c>
      <c r="H113" s="20">
        <v>15000</v>
      </c>
      <c r="I113" s="20">
        <v>10000</v>
      </c>
      <c r="J113" s="22">
        <v>5000</v>
      </c>
      <c r="K113" s="20">
        <f t="shared" si="4"/>
        <v>85000</v>
      </c>
      <c r="L113" s="20">
        <f t="shared" si="5"/>
        <v>1020000</v>
      </c>
      <c r="M113" s="20">
        <v>756249</v>
      </c>
      <c r="N113" s="20">
        <f t="shared" si="6"/>
        <v>263751</v>
      </c>
    </row>
    <row r="114" spans="1:14" ht="18" x14ac:dyDescent="0.35">
      <c r="A114" s="18">
        <v>1094</v>
      </c>
      <c r="B114" s="20" t="s">
        <v>119</v>
      </c>
      <c r="C114" s="20" t="s">
        <v>289</v>
      </c>
      <c r="D114" s="20" t="s">
        <v>299</v>
      </c>
      <c r="E114" s="20" t="s">
        <v>291</v>
      </c>
      <c r="F114" s="20">
        <v>45000</v>
      </c>
      <c r="G114" s="20">
        <v>0</v>
      </c>
      <c r="H114" s="20">
        <v>15000</v>
      </c>
      <c r="I114" s="20">
        <v>10000</v>
      </c>
      <c r="J114" s="22">
        <v>5000</v>
      </c>
      <c r="K114" s="20">
        <f t="shared" si="4"/>
        <v>75000</v>
      </c>
      <c r="L114" s="20">
        <f t="shared" si="5"/>
        <v>900000</v>
      </c>
      <c r="M114" s="20">
        <v>734032</v>
      </c>
      <c r="N114" s="20">
        <f t="shared" si="6"/>
        <v>165968</v>
      </c>
    </row>
    <row r="115" spans="1:14" ht="18" x14ac:dyDescent="0.35">
      <c r="A115" s="18">
        <v>1095</v>
      </c>
      <c r="B115" s="20" t="s">
        <v>120</v>
      </c>
      <c r="C115" s="20" t="s">
        <v>290</v>
      </c>
      <c r="D115" s="20" t="s">
        <v>299</v>
      </c>
      <c r="E115" s="20" t="s">
        <v>291</v>
      </c>
      <c r="F115" s="20">
        <v>45000</v>
      </c>
      <c r="G115" s="20">
        <v>0</v>
      </c>
      <c r="H115" s="20">
        <v>15000</v>
      </c>
      <c r="I115" s="20">
        <v>10000</v>
      </c>
      <c r="J115" s="22">
        <v>5000</v>
      </c>
      <c r="K115" s="20">
        <f t="shared" si="4"/>
        <v>75000</v>
      </c>
      <c r="L115" s="20">
        <f t="shared" si="5"/>
        <v>900000</v>
      </c>
      <c r="M115" s="20">
        <v>592344</v>
      </c>
      <c r="N115" s="20">
        <f t="shared" si="6"/>
        <v>307656</v>
      </c>
    </row>
    <row r="116" spans="1:14" ht="18" x14ac:dyDescent="0.35">
      <c r="A116" s="18">
        <v>1096</v>
      </c>
      <c r="B116" s="20" t="s">
        <v>121</v>
      </c>
      <c r="C116" s="20" t="s">
        <v>289</v>
      </c>
      <c r="D116" s="20" t="s">
        <v>299</v>
      </c>
      <c r="E116" s="20" t="s">
        <v>292</v>
      </c>
      <c r="F116" s="20">
        <v>45000</v>
      </c>
      <c r="G116" s="20">
        <v>10000</v>
      </c>
      <c r="H116" s="20">
        <v>15000</v>
      </c>
      <c r="I116" s="20">
        <v>10000</v>
      </c>
      <c r="J116" s="22">
        <v>5000</v>
      </c>
      <c r="K116" s="20">
        <f t="shared" si="4"/>
        <v>85000</v>
      </c>
      <c r="L116" s="20">
        <f t="shared" si="5"/>
        <v>1020000</v>
      </c>
      <c r="M116" s="20">
        <v>110000</v>
      </c>
      <c r="N116" s="20">
        <f t="shared" si="6"/>
        <v>910000</v>
      </c>
    </row>
    <row r="117" spans="1:14" ht="18" x14ac:dyDescent="0.35">
      <c r="A117" s="18">
        <v>1097</v>
      </c>
      <c r="B117" s="20" t="s">
        <v>122</v>
      </c>
      <c r="C117" s="20" t="s">
        <v>290</v>
      </c>
      <c r="D117" s="20" t="s">
        <v>299</v>
      </c>
      <c r="E117" s="20" t="s">
        <v>292</v>
      </c>
      <c r="F117" s="20">
        <v>45000</v>
      </c>
      <c r="G117" s="20">
        <v>10000</v>
      </c>
      <c r="H117" s="20">
        <v>15000</v>
      </c>
      <c r="I117" s="20">
        <v>10000</v>
      </c>
      <c r="J117" s="22">
        <v>5000</v>
      </c>
      <c r="K117" s="20">
        <f t="shared" si="4"/>
        <v>85000</v>
      </c>
      <c r="L117" s="20">
        <f t="shared" si="5"/>
        <v>1020000</v>
      </c>
      <c r="M117" s="20">
        <v>191736</v>
      </c>
      <c r="N117" s="20">
        <f t="shared" si="6"/>
        <v>828264</v>
      </c>
    </row>
    <row r="118" spans="1:14" ht="18" x14ac:dyDescent="0.35">
      <c r="A118" s="18">
        <v>1098</v>
      </c>
      <c r="B118" s="20" t="s">
        <v>123</v>
      </c>
      <c r="C118" s="20" t="s">
        <v>289</v>
      </c>
      <c r="D118" s="20" t="s">
        <v>299</v>
      </c>
      <c r="E118" s="20" t="s">
        <v>291</v>
      </c>
      <c r="F118" s="20">
        <v>45000</v>
      </c>
      <c r="G118" s="20">
        <v>0</v>
      </c>
      <c r="H118" s="20">
        <v>15000</v>
      </c>
      <c r="I118" s="20">
        <v>10000</v>
      </c>
      <c r="J118" s="22">
        <v>5000</v>
      </c>
      <c r="K118" s="20">
        <f t="shared" si="4"/>
        <v>75000</v>
      </c>
      <c r="L118" s="20">
        <f t="shared" si="5"/>
        <v>900000</v>
      </c>
      <c r="M118" s="20">
        <v>456828</v>
      </c>
      <c r="N118" s="20">
        <f t="shared" si="6"/>
        <v>443172</v>
      </c>
    </row>
    <row r="119" spans="1:14" ht="18" x14ac:dyDescent="0.35">
      <c r="A119" s="18">
        <v>1099</v>
      </c>
      <c r="B119" s="20" t="s">
        <v>124</v>
      </c>
      <c r="C119" s="20" t="s">
        <v>290</v>
      </c>
      <c r="D119" s="20" t="s">
        <v>299</v>
      </c>
      <c r="E119" s="20" t="s">
        <v>291</v>
      </c>
      <c r="F119" s="20">
        <v>45000</v>
      </c>
      <c r="G119" s="20">
        <v>0</v>
      </c>
      <c r="H119" s="20">
        <v>15000</v>
      </c>
      <c r="I119" s="20">
        <v>10000</v>
      </c>
      <c r="J119" s="22">
        <v>5000</v>
      </c>
      <c r="K119" s="20">
        <f t="shared" si="4"/>
        <v>75000</v>
      </c>
      <c r="L119" s="20">
        <f t="shared" si="5"/>
        <v>900000</v>
      </c>
      <c r="M119" s="20">
        <v>334338</v>
      </c>
      <c r="N119" s="20">
        <f t="shared" si="6"/>
        <v>565662</v>
      </c>
    </row>
    <row r="120" spans="1:14" ht="18" x14ac:dyDescent="0.35">
      <c r="A120" s="18">
        <v>1100</v>
      </c>
      <c r="B120" s="20" t="s">
        <v>125</v>
      </c>
      <c r="C120" s="20" t="s">
        <v>289</v>
      </c>
      <c r="D120" s="20" t="s">
        <v>299</v>
      </c>
      <c r="E120" s="20" t="s">
        <v>291</v>
      </c>
      <c r="F120" s="20">
        <v>45000</v>
      </c>
      <c r="G120" s="20">
        <v>0</v>
      </c>
      <c r="H120" s="20">
        <v>15000</v>
      </c>
      <c r="I120" s="20">
        <v>10000</v>
      </c>
      <c r="J120" s="22">
        <v>5000</v>
      </c>
      <c r="K120" s="20">
        <f t="shared" si="4"/>
        <v>75000</v>
      </c>
      <c r="L120" s="20">
        <f t="shared" si="5"/>
        <v>900000</v>
      </c>
      <c r="M120" s="20">
        <v>756137</v>
      </c>
      <c r="N120" s="20">
        <f t="shared" si="6"/>
        <v>143863</v>
      </c>
    </row>
    <row r="121" spans="1:14" ht="18" x14ac:dyDescent="0.35">
      <c r="A121" s="18">
        <v>1101</v>
      </c>
      <c r="B121" s="20" t="s">
        <v>126</v>
      </c>
      <c r="C121" s="20" t="s">
        <v>290</v>
      </c>
      <c r="D121" s="20" t="s">
        <v>299</v>
      </c>
      <c r="E121" s="20" t="s">
        <v>291</v>
      </c>
      <c r="F121" s="20">
        <v>45000</v>
      </c>
      <c r="G121" s="20">
        <v>0</v>
      </c>
      <c r="H121" s="20">
        <v>15000</v>
      </c>
      <c r="I121" s="20">
        <v>10000</v>
      </c>
      <c r="J121" s="22">
        <v>5000</v>
      </c>
      <c r="K121" s="20">
        <f t="shared" si="4"/>
        <v>75000</v>
      </c>
      <c r="L121" s="20">
        <f t="shared" si="5"/>
        <v>900000</v>
      </c>
      <c r="M121" s="20">
        <v>720093</v>
      </c>
      <c r="N121" s="20">
        <f t="shared" si="6"/>
        <v>179907</v>
      </c>
    </row>
    <row r="122" spans="1:14" ht="18" x14ac:dyDescent="0.35">
      <c r="A122" s="18">
        <v>1102</v>
      </c>
      <c r="B122" s="20" t="s">
        <v>127</v>
      </c>
      <c r="C122" s="20" t="s">
        <v>289</v>
      </c>
      <c r="D122" s="20" t="s">
        <v>299</v>
      </c>
      <c r="E122" s="20" t="s">
        <v>291</v>
      </c>
      <c r="F122" s="20">
        <v>45000</v>
      </c>
      <c r="G122" s="20">
        <v>0</v>
      </c>
      <c r="H122" s="20">
        <v>15000</v>
      </c>
      <c r="I122" s="20">
        <v>10000</v>
      </c>
      <c r="J122" s="22">
        <v>5000</v>
      </c>
      <c r="K122" s="20">
        <f t="shared" si="4"/>
        <v>75000</v>
      </c>
      <c r="L122" s="20">
        <f t="shared" si="5"/>
        <v>900000</v>
      </c>
      <c r="M122" s="20">
        <v>398925</v>
      </c>
      <c r="N122" s="20">
        <f t="shared" si="6"/>
        <v>501075</v>
      </c>
    </row>
    <row r="123" spans="1:14" ht="18" x14ac:dyDescent="0.35">
      <c r="A123" s="18">
        <v>1103</v>
      </c>
      <c r="B123" s="20" t="s">
        <v>128</v>
      </c>
      <c r="C123" s="20" t="s">
        <v>290</v>
      </c>
      <c r="D123" s="20" t="s">
        <v>299</v>
      </c>
      <c r="E123" s="20" t="s">
        <v>292</v>
      </c>
      <c r="F123" s="20">
        <v>45000</v>
      </c>
      <c r="G123" s="20">
        <v>10000</v>
      </c>
      <c r="H123" s="20">
        <v>15000</v>
      </c>
      <c r="I123" s="20">
        <v>10000</v>
      </c>
      <c r="J123" s="22">
        <v>5000</v>
      </c>
      <c r="K123" s="20">
        <f t="shared" si="4"/>
        <v>85000</v>
      </c>
      <c r="L123" s="20">
        <f t="shared" si="5"/>
        <v>1020000</v>
      </c>
      <c r="M123" s="20">
        <v>654963</v>
      </c>
      <c r="N123" s="20">
        <f t="shared" si="6"/>
        <v>365037</v>
      </c>
    </row>
    <row r="124" spans="1:14" ht="18" x14ac:dyDescent="0.35">
      <c r="A124" s="18">
        <v>1104</v>
      </c>
      <c r="B124" s="20" t="s">
        <v>129</v>
      </c>
      <c r="C124" s="20" t="s">
        <v>289</v>
      </c>
      <c r="D124" s="20" t="s">
        <v>299</v>
      </c>
      <c r="E124" s="20" t="s">
        <v>292</v>
      </c>
      <c r="F124" s="20">
        <v>45000</v>
      </c>
      <c r="G124" s="20">
        <v>10000</v>
      </c>
      <c r="H124" s="20">
        <v>15000</v>
      </c>
      <c r="I124" s="20">
        <v>10000</v>
      </c>
      <c r="J124" s="22">
        <v>5000</v>
      </c>
      <c r="K124" s="20">
        <f t="shared" si="4"/>
        <v>85000</v>
      </c>
      <c r="L124" s="20">
        <f t="shared" si="5"/>
        <v>1020000</v>
      </c>
      <c r="M124" s="20">
        <v>497268</v>
      </c>
      <c r="N124" s="20">
        <f t="shared" si="6"/>
        <v>522732</v>
      </c>
    </row>
    <row r="125" spans="1:14" ht="18" x14ac:dyDescent="0.35">
      <c r="A125" s="18">
        <v>1105</v>
      </c>
      <c r="B125" s="20" t="s">
        <v>130</v>
      </c>
      <c r="C125" s="20" t="s">
        <v>290</v>
      </c>
      <c r="D125" s="20" t="s">
        <v>299</v>
      </c>
      <c r="E125" s="20" t="s">
        <v>292</v>
      </c>
      <c r="F125" s="20">
        <v>45000</v>
      </c>
      <c r="G125" s="20">
        <v>10000</v>
      </c>
      <c r="H125" s="20">
        <v>15000</v>
      </c>
      <c r="I125" s="20">
        <v>10000</v>
      </c>
      <c r="J125" s="22">
        <v>5000</v>
      </c>
      <c r="K125" s="20">
        <f t="shared" si="4"/>
        <v>85000</v>
      </c>
      <c r="L125" s="20">
        <f t="shared" si="5"/>
        <v>1020000</v>
      </c>
      <c r="M125" s="20">
        <v>605986</v>
      </c>
      <c r="N125" s="20">
        <f t="shared" si="6"/>
        <v>414014</v>
      </c>
    </row>
    <row r="126" spans="1:14" ht="18" x14ac:dyDescent="0.35">
      <c r="A126" s="18">
        <v>1106</v>
      </c>
      <c r="B126" s="20" t="s">
        <v>131</v>
      </c>
      <c r="C126" s="20" t="s">
        <v>289</v>
      </c>
      <c r="D126" s="20" t="s">
        <v>299</v>
      </c>
      <c r="E126" s="20" t="s">
        <v>292</v>
      </c>
      <c r="F126" s="20">
        <v>45000</v>
      </c>
      <c r="G126" s="20">
        <v>10000</v>
      </c>
      <c r="H126" s="20">
        <v>15000</v>
      </c>
      <c r="I126" s="20">
        <v>10000</v>
      </c>
      <c r="J126" s="22">
        <v>5000</v>
      </c>
      <c r="K126" s="20">
        <f t="shared" si="4"/>
        <v>85000</v>
      </c>
      <c r="L126" s="20">
        <f t="shared" si="5"/>
        <v>1020000</v>
      </c>
      <c r="M126" s="20">
        <v>141940</v>
      </c>
      <c r="N126" s="20">
        <f t="shared" si="6"/>
        <v>878060</v>
      </c>
    </row>
    <row r="127" spans="1:14" ht="18" x14ac:dyDescent="0.35">
      <c r="A127" s="18">
        <v>1107</v>
      </c>
      <c r="B127" s="20" t="s">
        <v>132</v>
      </c>
      <c r="C127" s="20" t="s">
        <v>290</v>
      </c>
      <c r="D127" s="20" t="s">
        <v>299</v>
      </c>
      <c r="E127" s="20" t="s">
        <v>291</v>
      </c>
      <c r="F127" s="20">
        <v>45000</v>
      </c>
      <c r="G127" s="20">
        <v>0</v>
      </c>
      <c r="H127" s="20">
        <v>15000</v>
      </c>
      <c r="I127" s="20">
        <v>10000</v>
      </c>
      <c r="J127" s="22">
        <v>5000</v>
      </c>
      <c r="K127" s="20">
        <f t="shared" si="4"/>
        <v>75000</v>
      </c>
      <c r="L127" s="20">
        <f t="shared" si="5"/>
        <v>900000</v>
      </c>
      <c r="M127" s="20">
        <v>516582</v>
      </c>
      <c r="N127" s="20">
        <f t="shared" si="6"/>
        <v>383418</v>
      </c>
    </row>
    <row r="128" spans="1:14" ht="18" x14ac:dyDescent="0.35">
      <c r="A128" s="18">
        <v>1108</v>
      </c>
      <c r="B128" s="20" t="s">
        <v>133</v>
      </c>
      <c r="C128" s="20" t="s">
        <v>289</v>
      </c>
      <c r="D128" s="20" t="s">
        <v>299</v>
      </c>
      <c r="E128" s="20" t="s">
        <v>291</v>
      </c>
      <c r="F128" s="20">
        <v>45000</v>
      </c>
      <c r="G128" s="20">
        <v>0</v>
      </c>
      <c r="H128" s="20">
        <v>15000</v>
      </c>
      <c r="I128" s="20">
        <v>10000</v>
      </c>
      <c r="J128" s="22">
        <v>5000</v>
      </c>
      <c r="K128" s="20">
        <f t="shared" si="4"/>
        <v>75000</v>
      </c>
      <c r="L128" s="20">
        <f t="shared" si="5"/>
        <v>900000</v>
      </c>
      <c r="M128" s="20">
        <v>626313</v>
      </c>
      <c r="N128" s="20">
        <f t="shared" si="6"/>
        <v>273687</v>
      </c>
    </row>
    <row r="129" spans="1:14" ht="18" x14ac:dyDescent="0.35">
      <c r="A129" s="18">
        <v>1109</v>
      </c>
      <c r="B129" s="20" t="s">
        <v>135</v>
      </c>
      <c r="C129" s="20" t="s">
        <v>289</v>
      </c>
      <c r="D129" s="20" t="s">
        <v>300</v>
      </c>
      <c r="E129" s="20" t="s">
        <v>292</v>
      </c>
      <c r="F129" s="20">
        <v>50000</v>
      </c>
      <c r="G129" s="20">
        <v>10000</v>
      </c>
      <c r="H129" s="20">
        <v>15000</v>
      </c>
      <c r="I129" s="20">
        <v>10000</v>
      </c>
      <c r="J129" s="22">
        <v>5000</v>
      </c>
      <c r="K129" s="20">
        <f t="shared" si="4"/>
        <v>90000</v>
      </c>
      <c r="L129" s="20">
        <f t="shared" si="5"/>
        <v>1080000</v>
      </c>
      <c r="M129" s="20">
        <v>407323</v>
      </c>
      <c r="N129" s="20">
        <f t="shared" si="6"/>
        <v>672677</v>
      </c>
    </row>
    <row r="130" spans="1:14" ht="18" x14ac:dyDescent="0.35">
      <c r="A130" s="18">
        <v>1110</v>
      </c>
      <c r="B130" s="20" t="s">
        <v>134</v>
      </c>
      <c r="C130" s="20" t="s">
        <v>290</v>
      </c>
      <c r="D130" s="20" t="s">
        <v>300</v>
      </c>
      <c r="E130" s="20" t="s">
        <v>292</v>
      </c>
      <c r="F130" s="20">
        <v>50000</v>
      </c>
      <c r="G130" s="20">
        <v>10000</v>
      </c>
      <c r="H130" s="20">
        <v>15000</v>
      </c>
      <c r="I130" s="20">
        <v>10000</v>
      </c>
      <c r="J130" s="22">
        <v>5000</v>
      </c>
      <c r="K130" s="20">
        <f t="shared" si="4"/>
        <v>90000</v>
      </c>
      <c r="L130" s="20">
        <f t="shared" si="5"/>
        <v>1080000</v>
      </c>
      <c r="M130" s="20">
        <v>601498</v>
      </c>
      <c r="N130" s="20">
        <f t="shared" si="6"/>
        <v>478502</v>
      </c>
    </row>
    <row r="131" spans="1:14" ht="18" x14ac:dyDescent="0.35">
      <c r="A131" s="18">
        <v>1111</v>
      </c>
      <c r="B131" s="20" t="s">
        <v>136</v>
      </c>
      <c r="C131" s="20" t="s">
        <v>290</v>
      </c>
      <c r="D131" s="20" t="s">
        <v>300</v>
      </c>
      <c r="E131" s="20" t="s">
        <v>292</v>
      </c>
      <c r="F131" s="20">
        <v>50000</v>
      </c>
      <c r="G131" s="20">
        <v>10000</v>
      </c>
      <c r="H131" s="20">
        <v>15000</v>
      </c>
      <c r="I131" s="20">
        <v>10000</v>
      </c>
      <c r="J131" s="22">
        <v>5000</v>
      </c>
      <c r="K131" s="20">
        <f t="shared" si="4"/>
        <v>90000</v>
      </c>
      <c r="L131" s="20">
        <f t="shared" si="5"/>
        <v>1080000</v>
      </c>
      <c r="M131" s="20">
        <v>661117</v>
      </c>
      <c r="N131" s="20">
        <f t="shared" si="6"/>
        <v>418883</v>
      </c>
    </row>
    <row r="132" spans="1:14" ht="18" x14ac:dyDescent="0.35">
      <c r="A132" s="18">
        <v>1112</v>
      </c>
      <c r="B132" s="20" t="s">
        <v>137</v>
      </c>
      <c r="C132" s="20" t="s">
        <v>289</v>
      </c>
      <c r="D132" s="20" t="s">
        <v>300</v>
      </c>
      <c r="E132" s="20" t="s">
        <v>292</v>
      </c>
      <c r="F132" s="20">
        <v>50000</v>
      </c>
      <c r="G132" s="20">
        <v>10000</v>
      </c>
      <c r="H132" s="20">
        <v>15000</v>
      </c>
      <c r="I132" s="20">
        <v>10000</v>
      </c>
      <c r="J132" s="22">
        <v>5000</v>
      </c>
      <c r="K132" s="20">
        <f t="shared" si="4"/>
        <v>90000</v>
      </c>
      <c r="L132" s="20">
        <f t="shared" si="5"/>
        <v>1080000</v>
      </c>
      <c r="M132" s="20">
        <v>504291</v>
      </c>
      <c r="N132" s="20">
        <f t="shared" si="6"/>
        <v>575709</v>
      </c>
    </row>
    <row r="133" spans="1:14" ht="18" x14ac:dyDescent="0.35">
      <c r="A133" s="18">
        <v>1113</v>
      </c>
      <c r="B133" s="20" t="s">
        <v>138</v>
      </c>
      <c r="C133" s="20" t="s">
        <v>290</v>
      </c>
      <c r="D133" s="20" t="s">
        <v>300</v>
      </c>
      <c r="E133" s="20" t="s">
        <v>291</v>
      </c>
      <c r="F133" s="20">
        <v>50000</v>
      </c>
      <c r="G133" s="20">
        <v>0</v>
      </c>
      <c r="H133" s="20">
        <v>15000</v>
      </c>
      <c r="I133" s="20">
        <v>10000</v>
      </c>
      <c r="J133" s="22">
        <v>5000</v>
      </c>
      <c r="K133" s="20">
        <f t="shared" si="4"/>
        <v>80000</v>
      </c>
      <c r="L133" s="20">
        <f t="shared" si="5"/>
        <v>960000</v>
      </c>
      <c r="M133" s="20">
        <v>684112</v>
      </c>
      <c r="N133" s="20">
        <f t="shared" si="6"/>
        <v>275888</v>
      </c>
    </row>
    <row r="134" spans="1:14" ht="18" x14ac:dyDescent="0.35">
      <c r="A134" s="18">
        <v>1114</v>
      </c>
      <c r="B134" s="20" t="s">
        <v>139</v>
      </c>
      <c r="C134" s="20" t="s">
        <v>289</v>
      </c>
      <c r="D134" s="20" t="s">
        <v>300</v>
      </c>
      <c r="E134" s="20" t="s">
        <v>291</v>
      </c>
      <c r="F134" s="20">
        <v>50000</v>
      </c>
      <c r="G134" s="20">
        <v>0</v>
      </c>
      <c r="H134" s="20">
        <v>15000</v>
      </c>
      <c r="I134" s="20">
        <v>10000</v>
      </c>
      <c r="J134" s="22">
        <v>5000</v>
      </c>
      <c r="K134" s="20">
        <f t="shared" si="4"/>
        <v>80000</v>
      </c>
      <c r="L134" s="20">
        <f t="shared" si="5"/>
        <v>960000</v>
      </c>
      <c r="M134" s="20">
        <v>529494</v>
      </c>
      <c r="N134" s="20">
        <f t="shared" si="6"/>
        <v>430506</v>
      </c>
    </row>
    <row r="135" spans="1:14" ht="18" x14ac:dyDescent="0.35">
      <c r="A135" s="18">
        <v>1115</v>
      </c>
      <c r="B135" s="20" t="s">
        <v>140</v>
      </c>
      <c r="C135" s="20" t="s">
        <v>290</v>
      </c>
      <c r="D135" s="20" t="s">
        <v>300</v>
      </c>
      <c r="E135" s="20" t="s">
        <v>292</v>
      </c>
      <c r="F135" s="20">
        <v>50000</v>
      </c>
      <c r="G135" s="20">
        <v>10000</v>
      </c>
      <c r="H135" s="20">
        <v>15000</v>
      </c>
      <c r="I135" s="20">
        <v>10000</v>
      </c>
      <c r="J135" s="22">
        <v>5000</v>
      </c>
      <c r="K135" s="20">
        <f t="shared" si="4"/>
        <v>90000</v>
      </c>
      <c r="L135" s="20">
        <f t="shared" si="5"/>
        <v>1080000</v>
      </c>
      <c r="M135" s="20">
        <v>254013</v>
      </c>
      <c r="N135" s="20">
        <f t="shared" si="6"/>
        <v>825987</v>
      </c>
    </row>
    <row r="136" spans="1:14" ht="18" x14ac:dyDescent="0.35">
      <c r="A136" s="18">
        <v>1116</v>
      </c>
      <c r="B136" s="20" t="s">
        <v>141</v>
      </c>
      <c r="C136" s="20" t="s">
        <v>289</v>
      </c>
      <c r="D136" s="20" t="s">
        <v>300</v>
      </c>
      <c r="E136" s="20" t="s">
        <v>291</v>
      </c>
      <c r="F136" s="20">
        <v>50000</v>
      </c>
      <c r="G136" s="20">
        <v>0</v>
      </c>
      <c r="H136" s="20">
        <v>15000</v>
      </c>
      <c r="I136" s="20">
        <v>10000</v>
      </c>
      <c r="J136" s="22">
        <v>5000</v>
      </c>
      <c r="K136" s="20">
        <f t="shared" si="4"/>
        <v>80000</v>
      </c>
      <c r="L136" s="20">
        <f t="shared" si="5"/>
        <v>960000</v>
      </c>
      <c r="M136" s="20">
        <v>182170</v>
      </c>
      <c r="N136" s="20">
        <f t="shared" si="6"/>
        <v>777830</v>
      </c>
    </row>
    <row r="137" spans="1:14" ht="18" x14ac:dyDescent="0.35">
      <c r="A137" s="18">
        <v>1117</v>
      </c>
      <c r="B137" s="20" t="s">
        <v>143</v>
      </c>
      <c r="C137" s="20" t="s">
        <v>290</v>
      </c>
      <c r="D137" s="20" t="s">
        <v>300</v>
      </c>
      <c r="E137" s="20" t="s">
        <v>291</v>
      </c>
      <c r="F137" s="20">
        <v>50000</v>
      </c>
      <c r="G137" s="20">
        <v>0</v>
      </c>
      <c r="H137" s="20">
        <v>15000</v>
      </c>
      <c r="I137" s="20">
        <v>10000</v>
      </c>
      <c r="J137" s="22">
        <v>5000</v>
      </c>
      <c r="K137" s="20">
        <f t="shared" si="4"/>
        <v>80000</v>
      </c>
      <c r="L137" s="20">
        <f t="shared" si="5"/>
        <v>960000</v>
      </c>
      <c r="M137" s="20">
        <v>917843</v>
      </c>
      <c r="N137" s="20">
        <f t="shared" si="6"/>
        <v>42157</v>
      </c>
    </row>
    <row r="138" spans="1:14" ht="18" x14ac:dyDescent="0.35">
      <c r="A138" s="18">
        <v>1118</v>
      </c>
      <c r="B138" s="20" t="s">
        <v>144</v>
      </c>
      <c r="C138" s="20" t="s">
        <v>289</v>
      </c>
      <c r="D138" s="20" t="s">
        <v>300</v>
      </c>
      <c r="E138" s="20" t="s">
        <v>292</v>
      </c>
      <c r="F138" s="20">
        <v>50000</v>
      </c>
      <c r="G138" s="20">
        <v>10000</v>
      </c>
      <c r="H138" s="20">
        <v>15000</v>
      </c>
      <c r="I138" s="20">
        <v>10000</v>
      </c>
      <c r="J138" s="22">
        <v>5000</v>
      </c>
      <c r="K138" s="20">
        <f t="shared" si="4"/>
        <v>90000</v>
      </c>
      <c r="L138" s="20">
        <f t="shared" si="5"/>
        <v>1080000</v>
      </c>
      <c r="M138" s="20">
        <v>825947</v>
      </c>
      <c r="N138" s="20">
        <f t="shared" si="6"/>
        <v>254053</v>
      </c>
    </row>
    <row r="139" spans="1:14" ht="18" x14ac:dyDescent="0.35">
      <c r="A139" s="18">
        <v>1119</v>
      </c>
      <c r="B139" s="20" t="s">
        <v>145</v>
      </c>
      <c r="C139" s="20" t="s">
        <v>290</v>
      </c>
      <c r="D139" s="20" t="s">
        <v>300</v>
      </c>
      <c r="E139" s="20" t="s">
        <v>291</v>
      </c>
      <c r="F139" s="20">
        <v>50000</v>
      </c>
      <c r="G139" s="20">
        <v>0</v>
      </c>
      <c r="H139" s="20">
        <v>15000</v>
      </c>
      <c r="I139" s="20">
        <v>10000</v>
      </c>
      <c r="J139" s="22">
        <v>5000</v>
      </c>
      <c r="K139" s="20">
        <f t="shared" si="4"/>
        <v>80000</v>
      </c>
      <c r="L139" s="20">
        <f t="shared" si="5"/>
        <v>960000</v>
      </c>
      <c r="M139" s="20">
        <v>224880</v>
      </c>
      <c r="N139" s="20">
        <f t="shared" si="6"/>
        <v>735120</v>
      </c>
    </row>
    <row r="140" spans="1:14" ht="18" x14ac:dyDescent="0.35">
      <c r="A140" s="18">
        <v>1120</v>
      </c>
      <c r="B140" s="20" t="s">
        <v>146</v>
      </c>
      <c r="C140" s="20" t="s">
        <v>289</v>
      </c>
      <c r="D140" s="20" t="s">
        <v>300</v>
      </c>
      <c r="E140" s="20" t="s">
        <v>291</v>
      </c>
      <c r="F140" s="20">
        <v>50000</v>
      </c>
      <c r="G140" s="20">
        <v>0</v>
      </c>
      <c r="H140" s="20">
        <v>15000</v>
      </c>
      <c r="I140" s="20">
        <v>10000</v>
      </c>
      <c r="J140" s="22">
        <v>5000</v>
      </c>
      <c r="K140" s="20">
        <f t="shared" si="4"/>
        <v>80000</v>
      </c>
      <c r="L140" s="20">
        <f t="shared" si="5"/>
        <v>960000</v>
      </c>
      <c r="M140" s="20">
        <v>652409</v>
      </c>
      <c r="N140" s="20">
        <f t="shared" si="6"/>
        <v>307591</v>
      </c>
    </row>
    <row r="141" spans="1:14" ht="18" x14ac:dyDescent="0.35">
      <c r="A141" s="18">
        <v>1121</v>
      </c>
      <c r="B141" s="20" t="s">
        <v>147</v>
      </c>
      <c r="C141" s="20" t="s">
        <v>290</v>
      </c>
      <c r="D141" s="20" t="s">
        <v>300</v>
      </c>
      <c r="E141" s="20" t="s">
        <v>292</v>
      </c>
      <c r="F141" s="20">
        <v>50000</v>
      </c>
      <c r="G141" s="20">
        <v>10000</v>
      </c>
      <c r="H141" s="20">
        <v>15000</v>
      </c>
      <c r="I141" s="20">
        <v>10000</v>
      </c>
      <c r="J141" s="22">
        <v>5000</v>
      </c>
      <c r="K141" s="20">
        <f t="shared" si="4"/>
        <v>90000</v>
      </c>
      <c r="L141" s="20">
        <f t="shared" si="5"/>
        <v>1080000</v>
      </c>
      <c r="M141" s="20">
        <v>1031673</v>
      </c>
      <c r="N141" s="20">
        <f t="shared" si="6"/>
        <v>48327</v>
      </c>
    </row>
    <row r="142" spans="1:14" ht="18" x14ac:dyDescent="0.35">
      <c r="A142" s="18">
        <v>1122</v>
      </c>
      <c r="B142" s="20" t="s">
        <v>148</v>
      </c>
      <c r="C142" s="20" t="s">
        <v>289</v>
      </c>
      <c r="D142" s="20" t="s">
        <v>300</v>
      </c>
      <c r="E142" s="20" t="s">
        <v>292</v>
      </c>
      <c r="F142" s="20">
        <v>50000</v>
      </c>
      <c r="G142" s="20">
        <v>10000</v>
      </c>
      <c r="H142" s="20">
        <v>15000</v>
      </c>
      <c r="I142" s="20">
        <v>10000</v>
      </c>
      <c r="J142" s="22">
        <v>5000</v>
      </c>
      <c r="K142" s="20">
        <f t="shared" si="4"/>
        <v>90000</v>
      </c>
      <c r="L142" s="20">
        <f t="shared" si="5"/>
        <v>1080000</v>
      </c>
      <c r="M142" s="20">
        <v>1025448</v>
      </c>
      <c r="N142" s="20">
        <f t="shared" si="6"/>
        <v>54552</v>
      </c>
    </row>
    <row r="143" spans="1:14" ht="18" x14ac:dyDescent="0.35">
      <c r="A143" s="18">
        <v>1123</v>
      </c>
      <c r="B143" s="20" t="s">
        <v>149</v>
      </c>
      <c r="C143" s="20" t="s">
        <v>290</v>
      </c>
      <c r="D143" s="20" t="s">
        <v>300</v>
      </c>
      <c r="E143" s="20" t="s">
        <v>292</v>
      </c>
      <c r="F143" s="20">
        <v>50000</v>
      </c>
      <c r="G143" s="20">
        <v>10000</v>
      </c>
      <c r="H143" s="20">
        <v>15000</v>
      </c>
      <c r="I143" s="20">
        <v>10000</v>
      </c>
      <c r="J143" s="22">
        <v>5000</v>
      </c>
      <c r="K143" s="20">
        <f t="shared" si="4"/>
        <v>90000</v>
      </c>
      <c r="L143" s="20">
        <f t="shared" si="5"/>
        <v>1080000</v>
      </c>
      <c r="M143" s="20">
        <v>879091</v>
      </c>
      <c r="N143" s="20">
        <f t="shared" si="6"/>
        <v>200909</v>
      </c>
    </row>
    <row r="144" spans="1:14" ht="18" x14ac:dyDescent="0.35">
      <c r="A144" s="18">
        <v>1124</v>
      </c>
      <c r="B144" s="20" t="s">
        <v>150</v>
      </c>
      <c r="C144" s="20" t="s">
        <v>289</v>
      </c>
      <c r="D144" s="20" t="s">
        <v>300</v>
      </c>
      <c r="E144" s="20" t="s">
        <v>292</v>
      </c>
      <c r="F144" s="20">
        <v>50000</v>
      </c>
      <c r="G144" s="20">
        <v>10000</v>
      </c>
      <c r="H144" s="20">
        <v>15000</v>
      </c>
      <c r="I144" s="20">
        <v>10000</v>
      </c>
      <c r="J144" s="22">
        <v>5000</v>
      </c>
      <c r="K144" s="20">
        <f t="shared" si="4"/>
        <v>90000</v>
      </c>
      <c r="L144" s="20">
        <f t="shared" si="5"/>
        <v>1080000</v>
      </c>
      <c r="M144" s="20">
        <v>666091</v>
      </c>
      <c r="N144" s="20">
        <f t="shared" si="6"/>
        <v>413909</v>
      </c>
    </row>
    <row r="145" spans="1:14" ht="18" x14ac:dyDescent="0.35">
      <c r="A145" s="18">
        <v>1125</v>
      </c>
      <c r="B145" s="20" t="s">
        <v>151</v>
      </c>
      <c r="C145" s="20" t="s">
        <v>290</v>
      </c>
      <c r="D145" s="20" t="s">
        <v>300</v>
      </c>
      <c r="E145" s="20" t="s">
        <v>291</v>
      </c>
      <c r="F145" s="20">
        <v>50000</v>
      </c>
      <c r="G145" s="20">
        <v>0</v>
      </c>
      <c r="H145" s="20">
        <v>15000</v>
      </c>
      <c r="I145" s="20">
        <v>10000</v>
      </c>
      <c r="J145" s="22">
        <v>5000</v>
      </c>
      <c r="K145" s="20">
        <f t="shared" si="4"/>
        <v>80000</v>
      </c>
      <c r="L145" s="20">
        <f t="shared" si="5"/>
        <v>960000</v>
      </c>
      <c r="M145" s="20">
        <v>858525</v>
      </c>
      <c r="N145" s="20">
        <f t="shared" si="6"/>
        <v>101475</v>
      </c>
    </row>
    <row r="146" spans="1:14" ht="18" x14ac:dyDescent="0.35">
      <c r="A146" s="18">
        <v>1126</v>
      </c>
      <c r="B146" s="20" t="s">
        <v>221</v>
      </c>
      <c r="C146" s="20" t="s">
        <v>290</v>
      </c>
      <c r="D146" s="20" t="s">
        <v>300</v>
      </c>
      <c r="E146" s="20" t="s">
        <v>292</v>
      </c>
      <c r="F146" s="20">
        <v>50000</v>
      </c>
      <c r="G146" s="20">
        <v>10000</v>
      </c>
      <c r="H146" s="20">
        <v>15000</v>
      </c>
      <c r="I146" s="20">
        <v>10000</v>
      </c>
      <c r="J146" s="22">
        <v>5000</v>
      </c>
      <c r="K146" s="20">
        <f t="shared" si="4"/>
        <v>90000</v>
      </c>
      <c r="L146" s="20">
        <f t="shared" si="5"/>
        <v>1080000</v>
      </c>
      <c r="M146" s="20">
        <v>1065777</v>
      </c>
      <c r="N146" s="20">
        <f t="shared" si="6"/>
        <v>14223</v>
      </c>
    </row>
    <row r="147" spans="1:14" ht="18" x14ac:dyDescent="0.35">
      <c r="A147" s="18">
        <v>1127</v>
      </c>
      <c r="B147" s="20" t="s">
        <v>152</v>
      </c>
      <c r="C147" s="20" t="s">
        <v>289</v>
      </c>
      <c r="D147" s="20" t="s">
        <v>301</v>
      </c>
      <c r="E147" s="20" t="s">
        <v>292</v>
      </c>
      <c r="F147" s="20">
        <v>55000</v>
      </c>
      <c r="G147" s="20">
        <v>10000</v>
      </c>
      <c r="H147" s="20">
        <v>15000</v>
      </c>
      <c r="I147" s="20">
        <v>10000</v>
      </c>
      <c r="J147" s="22">
        <v>5000</v>
      </c>
      <c r="K147" s="20">
        <f t="shared" si="4"/>
        <v>95000</v>
      </c>
      <c r="L147" s="20">
        <f t="shared" si="5"/>
        <v>1140000</v>
      </c>
      <c r="M147" s="20">
        <v>462520</v>
      </c>
      <c r="N147" s="20">
        <f t="shared" si="6"/>
        <v>677480</v>
      </c>
    </row>
    <row r="148" spans="1:14" ht="18" x14ac:dyDescent="0.35">
      <c r="A148" s="18">
        <v>1128</v>
      </c>
      <c r="B148" s="20" t="s">
        <v>222</v>
      </c>
      <c r="C148" s="20" t="s">
        <v>289</v>
      </c>
      <c r="D148" s="20" t="s">
        <v>301</v>
      </c>
      <c r="E148" s="20" t="s">
        <v>291</v>
      </c>
      <c r="F148" s="20">
        <v>55000</v>
      </c>
      <c r="G148" s="20">
        <v>0</v>
      </c>
      <c r="H148" s="20">
        <v>15000</v>
      </c>
      <c r="I148" s="20">
        <v>10000</v>
      </c>
      <c r="J148" s="22">
        <v>5000</v>
      </c>
      <c r="K148" s="20">
        <f t="shared" si="4"/>
        <v>85000</v>
      </c>
      <c r="L148" s="20">
        <f t="shared" si="5"/>
        <v>1020000</v>
      </c>
      <c r="M148" s="20">
        <v>487584</v>
      </c>
      <c r="N148" s="20">
        <f t="shared" si="6"/>
        <v>532416</v>
      </c>
    </row>
    <row r="149" spans="1:14" ht="18" x14ac:dyDescent="0.35">
      <c r="A149" s="18">
        <v>1129</v>
      </c>
      <c r="B149" s="20" t="s">
        <v>153</v>
      </c>
      <c r="C149" s="20" t="s">
        <v>290</v>
      </c>
      <c r="D149" s="20" t="s">
        <v>301</v>
      </c>
      <c r="E149" s="20" t="s">
        <v>291</v>
      </c>
      <c r="F149" s="20">
        <v>55000</v>
      </c>
      <c r="G149" s="20">
        <v>0</v>
      </c>
      <c r="H149" s="20">
        <v>15000</v>
      </c>
      <c r="I149" s="20">
        <v>10000</v>
      </c>
      <c r="J149" s="22">
        <v>5000</v>
      </c>
      <c r="K149" s="20">
        <f t="shared" si="4"/>
        <v>85000</v>
      </c>
      <c r="L149" s="20">
        <f t="shared" si="5"/>
        <v>1020000</v>
      </c>
      <c r="M149" s="20">
        <v>317199</v>
      </c>
      <c r="N149" s="20">
        <f t="shared" si="6"/>
        <v>702801</v>
      </c>
    </row>
    <row r="150" spans="1:14" ht="18" x14ac:dyDescent="0.35">
      <c r="A150" s="18">
        <v>1130</v>
      </c>
      <c r="B150" s="20" t="s">
        <v>223</v>
      </c>
      <c r="C150" s="20" t="s">
        <v>289</v>
      </c>
      <c r="D150" s="20" t="s">
        <v>301</v>
      </c>
      <c r="E150" s="20" t="s">
        <v>292</v>
      </c>
      <c r="F150" s="20">
        <v>55000</v>
      </c>
      <c r="G150" s="20">
        <v>10000</v>
      </c>
      <c r="H150" s="20">
        <v>15000</v>
      </c>
      <c r="I150" s="20">
        <v>10000</v>
      </c>
      <c r="J150" s="22">
        <v>5000</v>
      </c>
      <c r="K150" s="20">
        <f t="shared" ref="K150:K213" si="7">SUM(F150:J150)</f>
        <v>95000</v>
      </c>
      <c r="L150" s="20">
        <f t="shared" ref="L150:L213" si="8">SUM(K150)*12</f>
        <v>1140000</v>
      </c>
      <c r="M150" s="20">
        <v>348891</v>
      </c>
      <c r="N150" s="20">
        <f t="shared" ref="N150:N213" si="9">L150-M150</f>
        <v>791109</v>
      </c>
    </row>
    <row r="151" spans="1:14" ht="18" x14ac:dyDescent="0.35">
      <c r="A151" s="18">
        <v>1131</v>
      </c>
      <c r="B151" s="20" t="s">
        <v>154</v>
      </c>
      <c r="C151" s="20" t="s">
        <v>289</v>
      </c>
      <c r="D151" s="20" t="s">
        <v>301</v>
      </c>
      <c r="E151" s="20" t="s">
        <v>292</v>
      </c>
      <c r="F151" s="20">
        <v>55000</v>
      </c>
      <c r="G151" s="20">
        <v>10000</v>
      </c>
      <c r="H151" s="20">
        <v>15000</v>
      </c>
      <c r="I151" s="20">
        <v>10000</v>
      </c>
      <c r="J151" s="22">
        <v>5000</v>
      </c>
      <c r="K151" s="20">
        <f t="shared" si="7"/>
        <v>95000</v>
      </c>
      <c r="L151" s="20">
        <f t="shared" si="8"/>
        <v>1140000</v>
      </c>
      <c r="M151" s="20">
        <v>619491</v>
      </c>
      <c r="N151" s="20">
        <f t="shared" si="9"/>
        <v>520509</v>
      </c>
    </row>
    <row r="152" spans="1:14" ht="18" x14ac:dyDescent="0.35">
      <c r="A152" s="18">
        <v>1132</v>
      </c>
      <c r="B152" s="20" t="s">
        <v>224</v>
      </c>
      <c r="C152" s="20" t="s">
        <v>289</v>
      </c>
      <c r="D152" s="20" t="s">
        <v>301</v>
      </c>
      <c r="E152" s="20" t="s">
        <v>291</v>
      </c>
      <c r="F152" s="20">
        <v>55000</v>
      </c>
      <c r="G152" s="20">
        <v>0</v>
      </c>
      <c r="H152" s="20">
        <v>15000</v>
      </c>
      <c r="I152" s="20">
        <v>10000</v>
      </c>
      <c r="J152" s="22">
        <v>5000</v>
      </c>
      <c r="K152" s="20">
        <f t="shared" si="7"/>
        <v>85000</v>
      </c>
      <c r="L152" s="20">
        <f t="shared" si="8"/>
        <v>1020000</v>
      </c>
      <c r="M152" s="20">
        <v>184458</v>
      </c>
      <c r="N152" s="20">
        <f t="shared" si="9"/>
        <v>835542</v>
      </c>
    </row>
    <row r="153" spans="1:14" ht="18" x14ac:dyDescent="0.35">
      <c r="A153" s="18">
        <v>1133</v>
      </c>
      <c r="B153" s="20" t="s">
        <v>225</v>
      </c>
      <c r="C153" s="20" t="s">
        <v>290</v>
      </c>
      <c r="D153" s="20" t="s">
        <v>301</v>
      </c>
      <c r="E153" s="20" t="s">
        <v>291</v>
      </c>
      <c r="F153" s="20">
        <v>55000</v>
      </c>
      <c r="G153" s="20">
        <v>0</v>
      </c>
      <c r="H153" s="20">
        <v>15000</v>
      </c>
      <c r="I153" s="20">
        <v>10000</v>
      </c>
      <c r="J153" s="22">
        <v>5000</v>
      </c>
      <c r="K153" s="20">
        <f t="shared" si="7"/>
        <v>85000</v>
      </c>
      <c r="L153" s="20">
        <f t="shared" si="8"/>
        <v>1020000</v>
      </c>
      <c r="M153" s="20">
        <v>194948</v>
      </c>
      <c r="N153" s="20">
        <f t="shared" si="9"/>
        <v>825052</v>
      </c>
    </row>
    <row r="154" spans="1:14" ht="18" x14ac:dyDescent="0.35">
      <c r="A154" s="18">
        <v>1134</v>
      </c>
      <c r="B154" s="20" t="s">
        <v>226</v>
      </c>
      <c r="C154" s="20" t="s">
        <v>290</v>
      </c>
      <c r="D154" s="20" t="s">
        <v>301</v>
      </c>
      <c r="E154" s="20" t="s">
        <v>291</v>
      </c>
      <c r="F154" s="20">
        <v>55000</v>
      </c>
      <c r="G154" s="20">
        <v>0</v>
      </c>
      <c r="H154" s="20">
        <v>15000</v>
      </c>
      <c r="I154" s="20">
        <v>10000</v>
      </c>
      <c r="J154" s="22">
        <v>5000</v>
      </c>
      <c r="K154" s="20">
        <f t="shared" si="7"/>
        <v>85000</v>
      </c>
      <c r="L154" s="20">
        <f t="shared" si="8"/>
        <v>1020000</v>
      </c>
      <c r="M154" s="20">
        <v>356869</v>
      </c>
      <c r="N154" s="20">
        <f t="shared" si="9"/>
        <v>663131</v>
      </c>
    </row>
    <row r="155" spans="1:14" ht="18" x14ac:dyDescent="0.35">
      <c r="A155" s="18">
        <v>1135</v>
      </c>
      <c r="B155" s="20" t="s">
        <v>227</v>
      </c>
      <c r="C155" s="20" t="s">
        <v>290</v>
      </c>
      <c r="D155" s="20" t="s">
        <v>301</v>
      </c>
      <c r="E155" s="20" t="s">
        <v>291</v>
      </c>
      <c r="F155" s="20">
        <v>55000</v>
      </c>
      <c r="G155" s="20">
        <v>0</v>
      </c>
      <c r="H155" s="20">
        <v>15000</v>
      </c>
      <c r="I155" s="20">
        <v>10000</v>
      </c>
      <c r="J155" s="22">
        <v>5000</v>
      </c>
      <c r="K155" s="20">
        <f t="shared" si="7"/>
        <v>85000</v>
      </c>
      <c r="L155" s="20">
        <f t="shared" si="8"/>
        <v>1020000</v>
      </c>
      <c r="M155" s="20">
        <v>888104</v>
      </c>
      <c r="N155" s="20">
        <f t="shared" si="9"/>
        <v>131896</v>
      </c>
    </row>
    <row r="156" spans="1:14" ht="18" x14ac:dyDescent="0.35">
      <c r="A156" s="18">
        <v>1136</v>
      </c>
      <c r="B156" s="20" t="s">
        <v>155</v>
      </c>
      <c r="C156" s="20" t="s">
        <v>289</v>
      </c>
      <c r="D156" s="20" t="s">
        <v>301</v>
      </c>
      <c r="E156" s="20" t="s">
        <v>291</v>
      </c>
      <c r="F156" s="20">
        <v>55000</v>
      </c>
      <c r="G156" s="20">
        <v>0</v>
      </c>
      <c r="H156" s="20">
        <v>15000</v>
      </c>
      <c r="I156" s="20">
        <v>10000</v>
      </c>
      <c r="J156" s="22">
        <v>5000</v>
      </c>
      <c r="K156" s="20">
        <f t="shared" si="7"/>
        <v>85000</v>
      </c>
      <c r="L156" s="20">
        <f t="shared" si="8"/>
        <v>1020000</v>
      </c>
      <c r="M156" s="20">
        <v>221442</v>
      </c>
      <c r="N156" s="20">
        <f t="shared" si="9"/>
        <v>798558</v>
      </c>
    </row>
    <row r="157" spans="1:14" ht="18" x14ac:dyDescent="0.35">
      <c r="A157" s="18">
        <v>1137</v>
      </c>
      <c r="B157" s="20" t="s">
        <v>156</v>
      </c>
      <c r="C157" s="20" t="s">
        <v>289</v>
      </c>
      <c r="D157" s="20" t="s">
        <v>301</v>
      </c>
      <c r="E157" s="20" t="s">
        <v>291</v>
      </c>
      <c r="F157" s="20">
        <v>55000</v>
      </c>
      <c r="G157" s="20">
        <v>0</v>
      </c>
      <c r="H157" s="20">
        <v>15000</v>
      </c>
      <c r="I157" s="20">
        <v>10000</v>
      </c>
      <c r="J157" s="22">
        <v>5000</v>
      </c>
      <c r="K157" s="20">
        <f t="shared" si="7"/>
        <v>85000</v>
      </c>
      <c r="L157" s="20">
        <f t="shared" si="8"/>
        <v>1020000</v>
      </c>
      <c r="M157" s="20">
        <v>1001770</v>
      </c>
      <c r="N157" s="20">
        <f t="shared" si="9"/>
        <v>18230</v>
      </c>
    </row>
    <row r="158" spans="1:14" ht="18" x14ac:dyDescent="0.35">
      <c r="A158" s="18">
        <v>1138</v>
      </c>
      <c r="B158" s="20" t="s">
        <v>157</v>
      </c>
      <c r="C158" s="20" t="s">
        <v>290</v>
      </c>
      <c r="D158" s="20" t="s">
        <v>301</v>
      </c>
      <c r="E158" s="20" t="s">
        <v>291</v>
      </c>
      <c r="F158" s="20">
        <v>55000</v>
      </c>
      <c r="G158" s="20">
        <v>0</v>
      </c>
      <c r="H158" s="20">
        <v>15000</v>
      </c>
      <c r="I158" s="20">
        <v>10000</v>
      </c>
      <c r="J158" s="22">
        <v>5000</v>
      </c>
      <c r="K158" s="20">
        <f t="shared" si="7"/>
        <v>85000</v>
      </c>
      <c r="L158" s="20">
        <f t="shared" si="8"/>
        <v>1020000</v>
      </c>
      <c r="M158" s="20">
        <v>179586</v>
      </c>
      <c r="N158" s="20">
        <f t="shared" si="9"/>
        <v>840414</v>
      </c>
    </row>
    <row r="159" spans="1:14" ht="18" x14ac:dyDescent="0.35">
      <c r="A159" s="18">
        <v>1139</v>
      </c>
      <c r="B159" s="20" t="s">
        <v>158</v>
      </c>
      <c r="C159" s="20" t="s">
        <v>289</v>
      </c>
      <c r="D159" s="20" t="s">
        <v>301</v>
      </c>
      <c r="E159" s="20" t="s">
        <v>291</v>
      </c>
      <c r="F159" s="20">
        <v>55000</v>
      </c>
      <c r="G159" s="20">
        <v>0</v>
      </c>
      <c r="H159" s="20">
        <v>15000</v>
      </c>
      <c r="I159" s="20">
        <v>10000</v>
      </c>
      <c r="J159" s="22">
        <v>5000</v>
      </c>
      <c r="K159" s="20">
        <f t="shared" si="7"/>
        <v>85000</v>
      </c>
      <c r="L159" s="20">
        <f t="shared" si="8"/>
        <v>1020000</v>
      </c>
      <c r="M159" s="20">
        <v>285608</v>
      </c>
      <c r="N159" s="20">
        <f t="shared" si="9"/>
        <v>734392</v>
      </c>
    </row>
    <row r="160" spans="1:14" ht="18" x14ac:dyDescent="0.35">
      <c r="A160" s="18">
        <v>1140</v>
      </c>
      <c r="B160" s="20" t="s">
        <v>159</v>
      </c>
      <c r="C160" s="20" t="s">
        <v>290</v>
      </c>
      <c r="D160" s="20" t="s">
        <v>301</v>
      </c>
      <c r="E160" s="20" t="s">
        <v>292</v>
      </c>
      <c r="F160" s="20">
        <v>55000</v>
      </c>
      <c r="G160" s="20">
        <v>10000</v>
      </c>
      <c r="H160" s="20">
        <v>15000</v>
      </c>
      <c r="I160" s="20">
        <v>10000</v>
      </c>
      <c r="J160" s="22">
        <v>5000</v>
      </c>
      <c r="K160" s="20">
        <f t="shared" si="7"/>
        <v>95000</v>
      </c>
      <c r="L160" s="20">
        <f t="shared" si="8"/>
        <v>1140000</v>
      </c>
      <c r="M160" s="20">
        <v>535110</v>
      </c>
      <c r="N160" s="20">
        <f t="shared" si="9"/>
        <v>604890</v>
      </c>
    </row>
    <row r="161" spans="1:14" ht="18" x14ac:dyDescent="0.35">
      <c r="A161" s="18">
        <v>1141</v>
      </c>
      <c r="B161" s="20" t="s">
        <v>160</v>
      </c>
      <c r="C161" s="20" t="s">
        <v>289</v>
      </c>
      <c r="D161" s="20" t="s">
        <v>301</v>
      </c>
      <c r="E161" s="20" t="s">
        <v>292</v>
      </c>
      <c r="F161" s="20">
        <v>55000</v>
      </c>
      <c r="G161" s="20">
        <v>10000</v>
      </c>
      <c r="H161" s="20">
        <v>15000</v>
      </c>
      <c r="I161" s="20">
        <v>10000</v>
      </c>
      <c r="J161" s="22">
        <v>5000</v>
      </c>
      <c r="K161" s="20">
        <f t="shared" si="7"/>
        <v>95000</v>
      </c>
      <c r="L161" s="20">
        <f t="shared" si="8"/>
        <v>1140000</v>
      </c>
      <c r="M161" s="20">
        <v>151513</v>
      </c>
      <c r="N161" s="20">
        <f t="shared" si="9"/>
        <v>988487</v>
      </c>
    </row>
    <row r="162" spans="1:14" ht="18" x14ac:dyDescent="0.35">
      <c r="A162" s="18">
        <v>1142</v>
      </c>
      <c r="B162" s="20" t="s">
        <v>161</v>
      </c>
      <c r="C162" s="20" t="s">
        <v>290</v>
      </c>
      <c r="D162" s="20" t="s">
        <v>301</v>
      </c>
      <c r="E162" s="20" t="s">
        <v>292</v>
      </c>
      <c r="F162" s="20">
        <v>55000</v>
      </c>
      <c r="G162" s="20">
        <v>10000</v>
      </c>
      <c r="H162" s="20">
        <v>15000</v>
      </c>
      <c r="I162" s="20">
        <v>10000</v>
      </c>
      <c r="J162" s="22">
        <v>5000</v>
      </c>
      <c r="K162" s="20">
        <f t="shared" si="7"/>
        <v>95000</v>
      </c>
      <c r="L162" s="20">
        <f t="shared" si="8"/>
        <v>1140000</v>
      </c>
      <c r="M162" s="20">
        <v>427737</v>
      </c>
      <c r="N162" s="20">
        <f t="shared" si="9"/>
        <v>712263</v>
      </c>
    </row>
    <row r="163" spans="1:14" ht="18" x14ac:dyDescent="0.35">
      <c r="A163" s="18">
        <v>1143</v>
      </c>
      <c r="B163" s="20" t="s">
        <v>162</v>
      </c>
      <c r="C163" s="20" t="s">
        <v>289</v>
      </c>
      <c r="D163" s="20" t="s">
        <v>301</v>
      </c>
      <c r="E163" s="20" t="s">
        <v>292</v>
      </c>
      <c r="F163" s="20">
        <v>55000</v>
      </c>
      <c r="G163" s="20">
        <v>10000</v>
      </c>
      <c r="H163" s="20">
        <v>15000</v>
      </c>
      <c r="I163" s="20">
        <v>10000</v>
      </c>
      <c r="J163" s="22">
        <v>5000</v>
      </c>
      <c r="K163" s="20">
        <f t="shared" si="7"/>
        <v>95000</v>
      </c>
      <c r="L163" s="20">
        <f t="shared" si="8"/>
        <v>1140000</v>
      </c>
      <c r="M163" s="20">
        <v>667800</v>
      </c>
      <c r="N163" s="20">
        <f t="shared" si="9"/>
        <v>472200</v>
      </c>
    </row>
    <row r="164" spans="1:14" ht="18" x14ac:dyDescent="0.35">
      <c r="A164" s="18">
        <v>1144</v>
      </c>
      <c r="B164" s="20" t="s">
        <v>163</v>
      </c>
      <c r="C164" s="20" t="s">
        <v>290</v>
      </c>
      <c r="D164" s="20" t="s">
        <v>301</v>
      </c>
      <c r="E164" s="20" t="s">
        <v>291</v>
      </c>
      <c r="F164" s="20">
        <v>55000</v>
      </c>
      <c r="G164" s="20">
        <v>0</v>
      </c>
      <c r="H164" s="20">
        <v>15000</v>
      </c>
      <c r="I164" s="20">
        <v>10000</v>
      </c>
      <c r="J164" s="22">
        <v>5000</v>
      </c>
      <c r="K164" s="20">
        <f t="shared" si="7"/>
        <v>85000</v>
      </c>
      <c r="L164" s="20">
        <f t="shared" si="8"/>
        <v>1020000</v>
      </c>
      <c r="M164" s="20">
        <v>642082</v>
      </c>
      <c r="N164" s="20">
        <f t="shared" si="9"/>
        <v>377918</v>
      </c>
    </row>
    <row r="165" spans="1:14" ht="18" x14ac:dyDescent="0.35">
      <c r="A165" s="18">
        <v>1145</v>
      </c>
      <c r="B165" s="20" t="s">
        <v>164</v>
      </c>
      <c r="C165" s="20" t="s">
        <v>289</v>
      </c>
      <c r="D165" s="20" t="s">
        <v>302</v>
      </c>
      <c r="E165" s="20" t="s">
        <v>291</v>
      </c>
      <c r="F165" s="20">
        <v>60000</v>
      </c>
      <c r="G165" s="20">
        <v>0</v>
      </c>
      <c r="H165" s="20">
        <v>15000</v>
      </c>
      <c r="I165" s="20">
        <v>10000</v>
      </c>
      <c r="J165" s="22">
        <v>5000</v>
      </c>
      <c r="K165" s="20">
        <f t="shared" si="7"/>
        <v>90000</v>
      </c>
      <c r="L165" s="20">
        <f t="shared" si="8"/>
        <v>1080000</v>
      </c>
      <c r="M165" s="20">
        <v>935825</v>
      </c>
      <c r="N165" s="20">
        <f t="shared" si="9"/>
        <v>144175</v>
      </c>
    </row>
    <row r="166" spans="1:14" ht="18" x14ac:dyDescent="0.35">
      <c r="A166" s="18">
        <v>1146</v>
      </c>
      <c r="B166" s="20" t="s">
        <v>165</v>
      </c>
      <c r="C166" s="20" t="s">
        <v>290</v>
      </c>
      <c r="D166" s="20" t="s">
        <v>302</v>
      </c>
      <c r="E166" s="20" t="s">
        <v>291</v>
      </c>
      <c r="F166" s="20">
        <v>60000</v>
      </c>
      <c r="G166" s="20">
        <v>0</v>
      </c>
      <c r="H166" s="20">
        <v>15000</v>
      </c>
      <c r="I166" s="20">
        <v>10000</v>
      </c>
      <c r="J166" s="22">
        <v>5000</v>
      </c>
      <c r="K166" s="20">
        <f t="shared" si="7"/>
        <v>90000</v>
      </c>
      <c r="L166" s="20">
        <f t="shared" si="8"/>
        <v>1080000</v>
      </c>
      <c r="M166" s="20">
        <v>999514</v>
      </c>
      <c r="N166" s="20">
        <f t="shared" si="9"/>
        <v>80486</v>
      </c>
    </row>
    <row r="167" spans="1:14" ht="18" x14ac:dyDescent="0.35">
      <c r="A167" s="18">
        <v>1147</v>
      </c>
      <c r="B167" s="20" t="s">
        <v>166</v>
      </c>
      <c r="C167" s="20" t="s">
        <v>289</v>
      </c>
      <c r="D167" s="20" t="s">
        <v>302</v>
      </c>
      <c r="E167" s="20" t="s">
        <v>291</v>
      </c>
      <c r="F167" s="20">
        <v>60000</v>
      </c>
      <c r="G167" s="20">
        <v>0</v>
      </c>
      <c r="H167" s="20">
        <v>15000</v>
      </c>
      <c r="I167" s="20">
        <v>10000</v>
      </c>
      <c r="J167" s="22">
        <v>5000</v>
      </c>
      <c r="K167" s="20">
        <f t="shared" si="7"/>
        <v>90000</v>
      </c>
      <c r="L167" s="20">
        <f t="shared" si="8"/>
        <v>1080000</v>
      </c>
      <c r="M167" s="20">
        <v>707992</v>
      </c>
      <c r="N167" s="20">
        <f t="shared" si="9"/>
        <v>372008</v>
      </c>
    </row>
    <row r="168" spans="1:14" ht="18" x14ac:dyDescent="0.35">
      <c r="A168" s="18">
        <v>1148</v>
      </c>
      <c r="B168" s="20" t="s">
        <v>167</v>
      </c>
      <c r="C168" s="20" t="s">
        <v>290</v>
      </c>
      <c r="D168" s="20" t="s">
        <v>302</v>
      </c>
      <c r="E168" s="20" t="s">
        <v>292</v>
      </c>
      <c r="F168" s="20">
        <v>60000</v>
      </c>
      <c r="G168" s="20">
        <v>10000</v>
      </c>
      <c r="H168" s="20">
        <v>15000</v>
      </c>
      <c r="I168" s="20">
        <v>10000</v>
      </c>
      <c r="J168" s="22">
        <v>5000</v>
      </c>
      <c r="K168" s="20">
        <f t="shared" si="7"/>
        <v>100000</v>
      </c>
      <c r="L168" s="20">
        <f t="shared" si="8"/>
        <v>1200000</v>
      </c>
      <c r="M168" s="20">
        <v>401242</v>
      </c>
      <c r="N168" s="20">
        <f t="shared" si="9"/>
        <v>798758</v>
      </c>
    </row>
    <row r="169" spans="1:14" ht="18" x14ac:dyDescent="0.35">
      <c r="A169" s="18">
        <v>1149</v>
      </c>
      <c r="B169" s="20" t="s">
        <v>168</v>
      </c>
      <c r="C169" s="20" t="s">
        <v>289</v>
      </c>
      <c r="D169" s="20" t="s">
        <v>302</v>
      </c>
      <c r="E169" s="20" t="s">
        <v>292</v>
      </c>
      <c r="F169" s="20">
        <v>60000</v>
      </c>
      <c r="G169" s="20">
        <v>10000</v>
      </c>
      <c r="H169" s="20">
        <v>15000</v>
      </c>
      <c r="I169" s="20">
        <v>10000</v>
      </c>
      <c r="J169" s="22">
        <v>5000</v>
      </c>
      <c r="K169" s="20">
        <f t="shared" si="7"/>
        <v>100000</v>
      </c>
      <c r="L169" s="20">
        <f t="shared" si="8"/>
        <v>1200000</v>
      </c>
      <c r="M169" s="20">
        <v>339663</v>
      </c>
      <c r="N169" s="20">
        <f t="shared" si="9"/>
        <v>860337</v>
      </c>
    </row>
    <row r="170" spans="1:14" ht="18" x14ac:dyDescent="0.35">
      <c r="A170" s="18">
        <v>1150</v>
      </c>
      <c r="B170" s="20" t="s">
        <v>169</v>
      </c>
      <c r="C170" s="20" t="s">
        <v>290</v>
      </c>
      <c r="D170" s="20" t="s">
        <v>302</v>
      </c>
      <c r="E170" s="20" t="s">
        <v>292</v>
      </c>
      <c r="F170" s="20">
        <v>60000</v>
      </c>
      <c r="G170" s="20">
        <v>10000</v>
      </c>
      <c r="H170" s="20">
        <v>15000</v>
      </c>
      <c r="I170" s="20">
        <v>10000</v>
      </c>
      <c r="J170" s="22">
        <v>5000</v>
      </c>
      <c r="K170" s="20">
        <f t="shared" si="7"/>
        <v>100000</v>
      </c>
      <c r="L170" s="20">
        <f t="shared" si="8"/>
        <v>1200000</v>
      </c>
      <c r="M170" s="20">
        <v>654889</v>
      </c>
      <c r="N170" s="20">
        <f t="shared" si="9"/>
        <v>545111</v>
      </c>
    </row>
    <row r="171" spans="1:14" ht="18" x14ac:dyDescent="0.35">
      <c r="A171" s="18">
        <v>1151</v>
      </c>
      <c r="B171" s="20" t="s">
        <v>170</v>
      </c>
      <c r="C171" s="20" t="s">
        <v>289</v>
      </c>
      <c r="D171" s="20" t="s">
        <v>302</v>
      </c>
      <c r="E171" s="20" t="s">
        <v>291</v>
      </c>
      <c r="F171" s="20">
        <v>60000</v>
      </c>
      <c r="G171" s="20">
        <v>0</v>
      </c>
      <c r="H171" s="20">
        <v>15000</v>
      </c>
      <c r="I171" s="20">
        <v>10000</v>
      </c>
      <c r="J171" s="22">
        <v>5000</v>
      </c>
      <c r="K171" s="20">
        <f t="shared" si="7"/>
        <v>90000</v>
      </c>
      <c r="L171" s="20">
        <f t="shared" si="8"/>
        <v>1080000</v>
      </c>
      <c r="M171" s="20">
        <v>420135</v>
      </c>
      <c r="N171" s="20">
        <f t="shared" si="9"/>
        <v>659865</v>
      </c>
    </row>
    <row r="172" spans="1:14" ht="18" x14ac:dyDescent="0.35">
      <c r="A172" s="18">
        <v>1152</v>
      </c>
      <c r="B172" s="20" t="s">
        <v>171</v>
      </c>
      <c r="C172" s="20" t="s">
        <v>290</v>
      </c>
      <c r="D172" s="20" t="s">
        <v>302</v>
      </c>
      <c r="E172" s="20" t="s">
        <v>292</v>
      </c>
      <c r="F172" s="20">
        <v>60000</v>
      </c>
      <c r="G172" s="20">
        <v>10000</v>
      </c>
      <c r="H172" s="20">
        <v>15000</v>
      </c>
      <c r="I172" s="20">
        <v>10000</v>
      </c>
      <c r="J172" s="22">
        <v>5000</v>
      </c>
      <c r="K172" s="20">
        <f t="shared" si="7"/>
        <v>100000</v>
      </c>
      <c r="L172" s="20">
        <f t="shared" si="8"/>
        <v>1200000</v>
      </c>
      <c r="M172" s="20">
        <v>880243</v>
      </c>
      <c r="N172" s="20">
        <f t="shared" si="9"/>
        <v>319757</v>
      </c>
    </row>
    <row r="173" spans="1:14" ht="18" x14ac:dyDescent="0.35">
      <c r="A173" s="18">
        <v>1153</v>
      </c>
      <c r="B173" s="20" t="s">
        <v>172</v>
      </c>
      <c r="C173" s="20" t="s">
        <v>289</v>
      </c>
      <c r="D173" s="20" t="s">
        <v>302</v>
      </c>
      <c r="E173" s="20" t="s">
        <v>292</v>
      </c>
      <c r="F173" s="20">
        <v>60000</v>
      </c>
      <c r="G173" s="20">
        <v>10000</v>
      </c>
      <c r="H173" s="20">
        <v>15000</v>
      </c>
      <c r="I173" s="20">
        <v>10000</v>
      </c>
      <c r="J173" s="22">
        <v>5000</v>
      </c>
      <c r="K173" s="20">
        <f t="shared" si="7"/>
        <v>100000</v>
      </c>
      <c r="L173" s="20">
        <f t="shared" si="8"/>
        <v>1200000</v>
      </c>
      <c r="M173" s="20">
        <v>957914</v>
      </c>
      <c r="N173" s="20">
        <f t="shared" si="9"/>
        <v>242086</v>
      </c>
    </row>
    <row r="174" spans="1:14" ht="18" x14ac:dyDescent="0.35">
      <c r="A174" s="18">
        <v>1154</v>
      </c>
      <c r="B174" s="20" t="s">
        <v>173</v>
      </c>
      <c r="C174" s="20" t="s">
        <v>290</v>
      </c>
      <c r="D174" s="20" t="s">
        <v>302</v>
      </c>
      <c r="E174" s="20" t="s">
        <v>291</v>
      </c>
      <c r="F174" s="20">
        <v>60000</v>
      </c>
      <c r="G174" s="20">
        <v>0</v>
      </c>
      <c r="H174" s="20">
        <v>15000</v>
      </c>
      <c r="I174" s="20">
        <v>10000</v>
      </c>
      <c r="J174" s="22">
        <v>5000</v>
      </c>
      <c r="K174" s="20">
        <f t="shared" si="7"/>
        <v>90000</v>
      </c>
      <c r="L174" s="20">
        <f t="shared" si="8"/>
        <v>1080000</v>
      </c>
      <c r="M174" s="20">
        <v>508000</v>
      </c>
      <c r="N174" s="20">
        <f t="shared" si="9"/>
        <v>572000</v>
      </c>
    </row>
    <row r="175" spans="1:14" ht="18" x14ac:dyDescent="0.35">
      <c r="A175" s="18">
        <v>1155</v>
      </c>
      <c r="B175" s="20" t="s">
        <v>174</v>
      </c>
      <c r="C175" s="20" t="s">
        <v>289</v>
      </c>
      <c r="D175" s="20" t="s">
        <v>302</v>
      </c>
      <c r="E175" s="20" t="s">
        <v>291</v>
      </c>
      <c r="F175" s="20">
        <v>60000</v>
      </c>
      <c r="G175" s="20">
        <v>0</v>
      </c>
      <c r="H175" s="20">
        <v>15000</v>
      </c>
      <c r="I175" s="20">
        <v>10000</v>
      </c>
      <c r="J175" s="22">
        <v>5000</v>
      </c>
      <c r="K175" s="20">
        <f t="shared" si="7"/>
        <v>90000</v>
      </c>
      <c r="L175" s="20">
        <f t="shared" si="8"/>
        <v>1080000</v>
      </c>
      <c r="M175" s="20">
        <v>122622</v>
      </c>
      <c r="N175" s="20">
        <f t="shared" si="9"/>
        <v>957378</v>
      </c>
    </row>
    <row r="176" spans="1:14" ht="18" x14ac:dyDescent="0.35">
      <c r="A176" s="18">
        <v>1156</v>
      </c>
      <c r="B176" s="20" t="s">
        <v>175</v>
      </c>
      <c r="C176" s="20" t="s">
        <v>289</v>
      </c>
      <c r="D176" s="20" t="s">
        <v>302</v>
      </c>
      <c r="E176" s="20" t="s">
        <v>292</v>
      </c>
      <c r="F176" s="20">
        <v>60000</v>
      </c>
      <c r="G176" s="20">
        <v>10000</v>
      </c>
      <c r="H176" s="20">
        <v>15000</v>
      </c>
      <c r="I176" s="20">
        <v>10000</v>
      </c>
      <c r="J176" s="22">
        <v>5000</v>
      </c>
      <c r="K176" s="20">
        <f t="shared" si="7"/>
        <v>100000</v>
      </c>
      <c r="L176" s="20">
        <f t="shared" si="8"/>
        <v>1200000</v>
      </c>
      <c r="M176" s="20">
        <v>557320</v>
      </c>
      <c r="N176" s="20">
        <f t="shared" si="9"/>
        <v>642680</v>
      </c>
    </row>
    <row r="177" spans="1:14" ht="18" x14ac:dyDescent="0.35">
      <c r="A177" s="18">
        <v>1157</v>
      </c>
      <c r="B177" s="20" t="s">
        <v>176</v>
      </c>
      <c r="C177" s="20" t="s">
        <v>289</v>
      </c>
      <c r="D177" s="20" t="s">
        <v>302</v>
      </c>
      <c r="E177" s="20" t="s">
        <v>292</v>
      </c>
      <c r="F177" s="20">
        <v>60000</v>
      </c>
      <c r="G177" s="20">
        <v>10000</v>
      </c>
      <c r="H177" s="20">
        <v>15000</v>
      </c>
      <c r="I177" s="20">
        <v>10000</v>
      </c>
      <c r="J177" s="22">
        <v>5000</v>
      </c>
      <c r="K177" s="20">
        <f t="shared" si="7"/>
        <v>100000</v>
      </c>
      <c r="L177" s="20">
        <f t="shared" si="8"/>
        <v>1200000</v>
      </c>
      <c r="M177" s="20">
        <v>671938</v>
      </c>
      <c r="N177" s="20">
        <f t="shared" si="9"/>
        <v>528062</v>
      </c>
    </row>
    <row r="178" spans="1:14" ht="18" x14ac:dyDescent="0.35">
      <c r="A178" s="18">
        <v>1158</v>
      </c>
      <c r="B178" s="20" t="s">
        <v>177</v>
      </c>
      <c r="C178" s="20" t="s">
        <v>289</v>
      </c>
      <c r="D178" s="20" t="s">
        <v>302</v>
      </c>
      <c r="E178" s="20" t="s">
        <v>291</v>
      </c>
      <c r="F178" s="20">
        <v>60000</v>
      </c>
      <c r="G178" s="20">
        <v>0</v>
      </c>
      <c r="H178" s="20">
        <v>15000</v>
      </c>
      <c r="I178" s="20">
        <v>10000</v>
      </c>
      <c r="J178" s="22">
        <v>5000</v>
      </c>
      <c r="K178" s="20">
        <f t="shared" si="7"/>
        <v>90000</v>
      </c>
      <c r="L178" s="20">
        <f t="shared" si="8"/>
        <v>1080000</v>
      </c>
      <c r="M178" s="20">
        <v>491887</v>
      </c>
      <c r="N178" s="20">
        <f t="shared" si="9"/>
        <v>588113</v>
      </c>
    </row>
    <row r="179" spans="1:14" ht="18" x14ac:dyDescent="0.35">
      <c r="A179" s="18">
        <v>1159</v>
      </c>
      <c r="B179" s="20" t="s">
        <v>178</v>
      </c>
      <c r="C179" s="20" t="s">
        <v>289</v>
      </c>
      <c r="D179" s="20" t="s">
        <v>302</v>
      </c>
      <c r="E179" s="20" t="s">
        <v>292</v>
      </c>
      <c r="F179" s="20">
        <v>60000</v>
      </c>
      <c r="G179" s="20">
        <v>10000</v>
      </c>
      <c r="H179" s="20">
        <v>15000</v>
      </c>
      <c r="I179" s="20">
        <v>10000</v>
      </c>
      <c r="J179" s="22">
        <v>5000</v>
      </c>
      <c r="K179" s="20">
        <f t="shared" si="7"/>
        <v>100000</v>
      </c>
      <c r="L179" s="20">
        <f t="shared" si="8"/>
        <v>1200000</v>
      </c>
      <c r="M179" s="20">
        <v>134476</v>
      </c>
      <c r="N179" s="20">
        <f t="shared" si="9"/>
        <v>1065524</v>
      </c>
    </row>
    <row r="180" spans="1:14" ht="18" x14ac:dyDescent="0.35">
      <c r="A180" s="18">
        <v>1160</v>
      </c>
      <c r="B180" s="20" t="s">
        <v>179</v>
      </c>
      <c r="C180" s="20" t="s">
        <v>290</v>
      </c>
      <c r="D180" s="20" t="s">
        <v>302</v>
      </c>
      <c r="E180" s="20" t="s">
        <v>292</v>
      </c>
      <c r="F180" s="20">
        <v>60000</v>
      </c>
      <c r="G180" s="20">
        <v>10000</v>
      </c>
      <c r="H180" s="20">
        <v>15000</v>
      </c>
      <c r="I180" s="20">
        <v>10000</v>
      </c>
      <c r="J180" s="22">
        <v>5000</v>
      </c>
      <c r="K180" s="20">
        <f t="shared" si="7"/>
        <v>100000</v>
      </c>
      <c r="L180" s="20">
        <f t="shared" si="8"/>
        <v>1200000</v>
      </c>
      <c r="M180" s="20">
        <v>457721</v>
      </c>
      <c r="N180" s="20">
        <f t="shared" si="9"/>
        <v>742279</v>
      </c>
    </row>
    <row r="181" spans="1:14" ht="18" x14ac:dyDescent="0.35">
      <c r="A181" s="18">
        <v>1161</v>
      </c>
      <c r="B181" s="20" t="s">
        <v>180</v>
      </c>
      <c r="C181" s="20" t="s">
        <v>289</v>
      </c>
      <c r="D181" s="20" t="s">
        <v>302</v>
      </c>
      <c r="E181" s="20" t="s">
        <v>291</v>
      </c>
      <c r="F181" s="20">
        <v>60000</v>
      </c>
      <c r="G181" s="20">
        <v>0</v>
      </c>
      <c r="H181" s="20">
        <v>15000</v>
      </c>
      <c r="I181" s="20">
        <v>10000</v>
      </c>
      <c r="J181" s="22">
        <v>5000</v>
      </c>
      <c r="K181" s="20">
        <f t="shared" si="7"/>
        <v>90000</v>
      </c>
      <c r="L181" s="20">
        <f t="shared" si="8"/>
        <v>1080000</v>
      </c>
      <c r="M181" s="20">
        <v>563164</v>
      </c>
      <c r="N181" s="20">
        <f t="shared" si="9"/>
        <v>516836</v>
      </c>
    </row>
    <row r="182" spans="1:14" ht="18" x14ac:dyDescent="0.35">
      <c r="A182" s="18">
        <v>1162</v>
      </c>
      <c r="B182" s="20" t="s">
        <v>181</v>
      </c>
      <c r="C182" s="20" t="s">
        <v>290</v>
      </c>
      <c r="D182" s="20" t="s">
        <v>302</v>
      </c>
      <c r="E182" s="20" t="s">
        <v>291</v>
      </c>
      <c r="F182" s="20">
        <v>60000</v>
      </c>
      <c r="G182" s="20">
        <v>0</v>
      </c>
      <c r="H182" s="20">
        <v>15000</v>
      </c>
      <c r="I182" s="20">
        <v>10000</v>
      </c>
      <c r="J182" s="22">
        <v>5000</v>
      </c>
      <c r="K182" s="20">
        <f t="shared" si="7"/>
        <v>90000</v>
      </c>
      <c r="L182" s="20">
        <f t="shared" si="8"/>
        <v>1080000</v>
      </c>
      <c r="M182" s="20">
        <v>929401</v>
      </c>
      <c r="N182" s="20">
        <f t="shared" si="9"/>
        <v>150599</v>
      </c>
    </row>
    <row r="183" spans="1:14" ht="18" x14ac:dyDescent="0.35">
      <c r="A183" s="18">
        <v>1163</v>
      </c>
      <c r="B183" s="20" t="s">
        <v>182</v>
      </c>
      <c r="C183" s="20" t="s">
        <v>289</v>
      </c>
      <c r="D183" s="20" t="s">
        <v>303</v>
      </c>
      <c r="E183" s="20" t="s">
        <v>291</v>
      </c>
      <c r="F183" s="20">
        <v>65000</v>
      </c>
      <c r="G183" s="20">
        <v>0</v>
      </c>
      <c r="H183" s="20">
        <v>15000</v>
      </c>
      <c r="I183" s="20">
        <v>10000</v>
      </c>
      <c r="J183" s="22">
        <v>5000</v>
      </c>
      <c r="K183" s="20">
        <f t="shared" si="7"/>
        <v>95000</v>
      </c>
      <c r="L183" s="20">
        <f t="shared" si="8"/>
        <v>1140000</v>
      </c>
      <c r="M183" s="20">
        <v>913586</v>
      </c>
      <c r="N183" s="20">
        <f t="shared" si="9"/>
        <v>226414</v>
      </c>
    </row>
    <row r="184" spans="1:14" ht="18" x14ac:dyDescent="0.35">
      <c r="A184" s="18">
        <v>1164</v>
      </c>
      <c r="B184" s="20" t="s">
        <v>183</v>
      </c>
      <c r="C184" s="20" t="s">
        <v>290</v>
      </c>
      <c r="D184" s="20" t="s">
        <v>303</v>
      </c>
      <c r="E184" s="20" t="s">
        <v>291</v>
      </c>
      <c r="F184" s="20">
        <v>65000</v>
      </c>
      <c r="G184" s="20">
        <v>0</v>
      </c>
      <c r="H184" s="20">
        <v>15000</v>
      </c>
      <c r="I184" s="20">
        <v>10000</v>
      </c>
      <c r="J184" s="22">
        <v>5000</v>
      </c>
      <c r="K184" s="20">
        <f t="shared" si="7"/>
        <v>95000</v>
      </c>
      <c r="L184" s="20">
        <f t="shared" si="8"/>
        <v>1140000</v>
      </c>
      <c r="M184" s="20">
        <v>119410</v>
      </c>
      <c r="N184" s="20">
        <f t="shared" si="9"/>
        <v>1020590</v>
      </c>
    </row>
    <row r="185" spans="1:14" ht="18" x14ac:dyDescent="0.35">
      <c r="A185" s="18">
        <v>1165</v>
      </c>
      <c r="B185" s="20" t="s">
        <v>184</v>
      </c>
      <c r="C185" s="20" t="s">
        <v>289</v>
      </c>
      <c r="D185" s="20" t="s">
        <v>303</v>
      </c>
      <c r="E185" s="20" t="s">
        <v>292</v>
      </c>
      <c r="F185" s="20">
        <v>65000</v>
      </c>
      <c r="G185" s="20">
        <v>10000</v>
      </c>
      <c r="H185" s="20">
        <v>15000</v>
      </c>
      <c r="I185" s="20">
        <v>10000</v>
      </c>
      <c r="J185" s="22">
        <v>5000</v>
      </c>
      <c r="K185" s="20">
        <f t="shared" si="7"/>
        <v>105000</v>
      </c>
      <c r="L185" s="20">
        <f t="shared" si="8"/>
        <v>1260000</v>
      </c>
      <c r="M185" s="20">
        <v>892530</v>
      </c>
      <c r="N185" s="20">
        <f t="shared" si="9"/>
        <v>367470</v>
      </c>
    </row>
    <row r="186" spans="1:14" ht="18" x14ac:dyDescent="0.35">
      <c r="A186" s="18">
        <v>1166</v>
      </c>
      <c r="B186" s="20" t="s">
        <v>185</v>
      </c>
      <c r="C186" s="20" t="s">
        <v>289</v>
      </c>
      <c r="D186" s="20" t="s">
        <v>303</v>
      </c>
      <c r="E186" s="20" t="s">
        <v>291</v>
      </c>
      <c r="F186" s="20">
        <v>65000</v>
      </c>
      <c r="G186" s="20">
        <v>0</v>
      </c>
      <c r="H186" s="20">
        <v>15000</v>
      </c>
      <c r="I186" s="20">
        <v>10000</v>
      </c>
      <c r="J186" s="22">
        <v>5000</v>
      </c>
      <c r="K186" s="20">
        <f t="shared" si="7"/>
        <v>95000</v>
      </c>
      <c r="L186" s="20">
        <f t="shared" si="8"/>
        <v>1140000</v>
      </c>
      <c r="M186" s="20">
        <v>521830</v>
      </c>
      <c r="N186" s="20">
        <f t="shared" si="9"/>
        <v>618170</v>
      </c>
    </row>
    <row r="187" spans="1:14" ht="18" x14ac:dyDescent="0.35">
      <c r="A187" s="18">
        <v>1167</v>
      </c>
      <c r="B187" s="20" t="s">
        <v>186</v>
      </c>
      <c r="C187" s="20" t="s">
        <v>289</v>
      </c>
      <c r="D187" s="20" t="s">
        <v>303</v>
      </c>
      <c r="E187" s="20" t="s">
        <v>291</v>
      </c>
      <c r="F187" s="20">
        <v>65000</v>
      </c>
      <c r="G187" s="20">
        <v>0</v>
      </c>
      <c r="H187" s="20">
        <v>15000</v>
      </c>
      <c r="I187" s="20">
        <v>10000</v>
      </c>
      <c r="J187" s="22">
        <v>5000</v>
      </c>
      <c r="K187" s="20">
        <f t="shared" si="7"/>
        <v>95000</v>
      </c>
      <c r="L187" s="20">
        <f t="shared" si="8"/>
        <v>1140000</v>
      </c>
      <c r="M187" s="20">
        <v>385589</v>
      </c>
      <c r="N187" s="20">
        <f t="shared" si="9"/>
        <v>754411</v>
      </c>
    </row>
    <row r="188" spans="1:14" ht="18" x14ac:dyDescent="0.35">
      <c r="A188" s="18">
        <v>1168</v>
      </c>
      <c r="B188" s="20" t="s">
        <v>187</v>
      </c>
      <c r="C188" s="20" t="s">
        <v>290</v>
      </c>
      <c r="D188" s="20" t="s">
        <v>303</v>
      </c>
      <c r="E188" s="20" t="s">
        <v>291</v>
      </c>
      <c r="F188" s="20">
        <v>65000</v>
      </c>
      <c r="G188" s="20">
        <v>0</v>
      </c>
      <c r="H188" s="20">
        <v>15000</v>
      </c>
      <c r="I188" s="20">
        <v>10000</v>
      </c>
      <c r="J188" s="22">
        <v>5000</v>
      </c>
      <c r="K188" s="20">
        <f t="shared" si="7"/>
        <v>95000</v>
      </c>
      <c r="L188" s="20">
        <f t="shared" si="8"/>
        <v>1140000</v>
      </c>
      <c r="M188" s="20">
        <v>888076</v>
      </c>
      <c r="N188" s="20">
        <f t="shared" si="9"/>
        <v>251924</v>
      </c>
    </row>
    <row r="189" spans="1:14" ht="18" x14ac:dyDescent="0.35">
      <c r="A189" s="18">
        <v>1169</v>
      </c>
      <c r="B189" s="20" t="s">
        <v>188</v>
      </c>
      <c r="C189" s="20" t="s">
        <v>289</v>
      </c>
      <c r="D189" s="20" t="s">
        <v>303</v>
      </c>
      <c r="E189" s="20" t="s">
        <v>291</v>
      </c>
      <c r="F189" s="20">
        <v>65000</v>
      </c>
      <c r="G189" s="20">
        <v>0</v>
      </c>
      <c r="H189" s="20">
        <v>15000</v>
      </c>
      <c r="I189" s="20">
        <v>10000</v>
      </c>
      <c r="J189" s="22">
        <v>5000</v>
      </c>
      <c r="K189" s="20">
        <f t="shared" si="7"/>
        <v>95000</v>
      </c>
      <c r="L189" s="20">
        <f t="shared" si="8"/>
        <v>1140000</v>
      </c>
      <c r="M189" s="20">
        <v>275665</v>
      </c>
      <c r="N189" s="20">
        <f t="shared" si="9"/>
        <v>864335</v>
      </c>
    </row>
    <row r="190" spans="1:14" ht="18" x14ac:dyDescent="0.35">
      <c r="A190" s="18">
        <v>1170</v>
      </c>
      <c r="B190" s="20" t="s">
        <v>189</v>
      </c>
      <c r="C190" s="20" t="s">
        <v>290</v>
      </c>
      <c r="D190" s="20" t="s">
        <v>303</v>
      </c>
      <c r="E190" s="20" t="s">
        <v>292</v>
      </c>
      <c r="F190" s="20">
        <v>65000</v>
      </c>
      <c r="G190" s="20">
        <v>10000</v>
      </c>
      <c r="H190" s="20">
        <v>15000</v>
      </c>
      <c r="I190" s="20">
        <v>10000</v>
      </c>
      <c r="J190" s="22">
        <v>5000</v>
      </c>
      <c r="K190" s="20">
        <f t="shared" si="7"/>
        <v>105000</v>
      </c>
      <c r="L190" s="20">
        <f t="shared" si="8"/>
        <v>1260000</v>
      </c>
      <c r="M190" s="20">
        <v>300421</v>
      </c>
      <c r="N190" s="20">
        <f t="shared" si="9"/>
        <v>959579</v>
      </c>
    </row>
    <row r="191" spans="1:14" ht="18" x14ac:dyDescent="0.35">
      <c r="A191" s="18">
        <v>1171</v>
      </c>
      <c r="B191" s="20" t="s">
        <v>190</v>
      </c>
      <c r="C191" s="20" t="s">
        <v>289</v>
      </c>
      <c r="D191" s="20" t="s">
        <v>303</v>
      </c>
      <c r="E191" s="20" t="s">
        <v>292</v>
      </c>
      <c r="F191" s="20">
        <v>65000</v>
      </c>
      <c r="G191" s="20">
        <v>10000</v>
      </c>
      <c r="H191" s="20">
        <v>15000</v>
      </c>
      <c r="I191" s="20">
        <v>10000</v>
      </c>
      <c r="J191" s="22">
        <v>5000</v>
      </c>
      <c r="K191" s="20">
        <f t="shared" si="7"/>
        <v>105000</v>
      </c>
      <c r="L191" s="20">
        <f t="shared" si="8"/>
        <v>1260000</v>
      </c>
      <c r="M191" s="20">
        <v>399678</v>
      </c>
      <c r="N191" s="20">
        <f t="shared" si="9"/>
        <v>860322</v>
      </c>
    </row>
    <row r="192" spans="1:14" ht="18" x14ac:dyDescent="0.35">
      <c r="A192" s="18">
        <v>1172</v>
      </c>
      <c r="B192" s="20" t="s">
        <v>191</v>
      </c>
      <c r="C192" s="20" t="s">
        <v>290</v>
      </c>
      <c r="D192" s="20" t="s">
        <v>303</v>
      </c>
      <c r="E192" s="20" t="s">
        <v>292</v>
      </c>
      <c r="F192" s="20">
        <v>65000</v>
      </c>
      <c r="G192" s="20">
        <v>10000</v>
      </c>
      <c r="H192" s="20">
        <v>15000</v>
      </c>
      <c r="I192" s="20">
        <v>10000</v>
      </c>
      <c r="J192" s="22">
        <v>5000</v>
      </c>
      <c r="K192" s="20">
        <f t="shared" si="7"/>
        <v>105000</v>
      </c>
      <c r="L192" s="20">
        <f t="shared" si="8"/>
        <v>1260000</v>
      </c>
      <c r="M192" s="20">
        <v>646252</v>
      </c>
      <c r="N192" s="20">
        <f t="shared" si="9"/>
        <v>613748</v>
      </c>
    </row>
    <row r="193" spans="1:14" ht="18" x14ac:dyDescent="0.35">
      <c r="A193" s="18">
        <v>1173</v>
      </c>
      <c r="B193" s="20" t="s">
        <v>192</v>
      </c>
      <c r="C193" s="20" t="s">
        <v>289</v>
      </c>
      <c r="D193" s="20" t="s">
        <v>303</v>
      </c>
      <c r="E193" s="20" t="s">
        <v>292</v>
      </c>
      <c r="F193" s="20">
        <v>65000</v>
      </c>
      <c r="G193" s="20">
        <v>10000</v>
      </c>
      <c r="H193" s="20">
        <v>15000</v>
      </c>
      <c r="I193" s="20">
        <v>10000</v>
      </c>
      <c r="J193" s="22">
        <v>5000</v>
      </c>
      <c r="K193" s="20">
        <f t="shared" si="7"/>
        <v>105000</v>
      </c>
      <c r="L193" s="20">
        <f t="shared" si="8"/>
        <v>1260000</v>
      </c>
      <c r="M193" s="20">
        <v>736849</v>
      </c>
      <c r="N193" s="20">
        <f t="shared" si="9"/>
        <v>523151</v>
      </c>
    </row>
    <row r="194" spans="1:14" ht="18" x14ac:dyDescent="0.35">
      <c r="A194" s="18">
        <v>1174</v>
      </c>
      <c r="B194" s="20" t="s">
        <v>193</v>
      </c>
      <c r="C194" s="20" t="s">
        <v>290</v>
      </c>
      <c r="D194" s="20" t="s">
        <v>303</v>
      </c>
      <c r="E194" s="20" t="s">
        <v>291</v>
      </c>
      <c r="F194" s="20">
        <v>65000</v>
      </c>
      <c r="G194" s="20">
        <v>0</v>
      </c>
      <c r="H194" s="20">
        <v>15000</v>
      </c>
      <c r="I194" s="20">
        <v>10000</v>
      </c>
      <c r="J194" s="22">
        <v>5000</v>
      </c>
      <c r="K194" s="20">
        <f t="shared" si="7"/>
        <v>95000</v>
      </c>
      <c r="L194" s="20">
        <f t="shared" si="8"/>
        <v>1140000</v>
      </c>
      <c r="M194" s="20">
        <v>161049</v>
      </c>
      <c r="N194" s="20">
        <f t="shared" si="9"/>
        <v>978951</v>
      </c>
    </row>
    <row r="195" spans="1:14" ht="18" x14ac:dyDescent="0.35">
      <c r="A195" s="18">
        <v>1175</v>
      </c>
      <c r="B195" s="20" t="s">
        <v>194</v>
      </c>
      <c r="C195" s="20" t="s">
        <v>289</v>
      </c>
      <c r="D195" s="20" t="s">
        <v>303</v>
      </c>
      <c r="E195" s="20" t="s">
        <v>291</v>
      </c>
      <c r="F195" s="20">
        <v>65000</v>
      </c>
      <c r="G195" s="20">
        <v>0</v>
      </c>
      <c r="H195" s="20">
        <v>15000</v>
      </c>
      <c r="I195" s="20">
        <v>10000</v>
      </c>
      <c r="J195" s="22">
        <v>5000</v>
      </c>
      <c r="K195" s="20">
        <f t="shared" si="7"/>
        <v>95000</v>
      </c>
      <c r="L195" s="20">
        <f t="shared" si="8"/>
        <v>1140000</v>
      </c>
      <c r="M195" s="20">
        <v>524819</v>
      </c>
      <c r="N195" s="20">
        <f t="shared" si="9"/>
        <v>615181</v>
      </c>
    </row>
    <row r="196" spans="1:14" ht="18" x14ac:dyDescent="0.35">
      <c r="A196" s="18">
        <v>1176</v>
      </c>
      <c r="B196" s="20" t="s">
        <v>195</v>
      </c>
      <c r="C196" s="20" t="s">
        <v>290</v>
      </c>
      <c r="D196" s="20" t="s">
        <v>303</v>
      </c>
      <c r="E196" s="20" t="s">
        <v>292</v>
      </c>
      <c r="F196" s="20">
        <v>65000</v>
      </c>
      <c r="G196" s="20">
        <v>10000</v>
      </c>
      <c r="H196" s="20">
        <v>15000</v>
      </c>
      <c r="I196" s="20">
        <v>10000</v>
      </c>
      <c r="J196" s="22">
        <v>5000</v>
      </c>
      <c r="K196" s="20">
        <f t="shared" si="7"/>
        <v>105000</v>
      </c>
      <c r="L196" s="20">
        <f t="shared" si="8"/>
        <v>1260000</v>
      </c>
      <c r="M196" s="20">
        <v>999748</v>
      </c>
      <c r="N196" s="20">
        <f t="shared" si="9"/>
        <v>260252</v>
      </c>
    </row>
    <row r="197" spans="1:14" ht="18" x14ac:dyDescent="0.35">
      <c r="A197" s="18">
        <v>1177</v>
      </c>
      <c r="B197" s="20" t="s">
        <v>196</v>
      </c>
      <c r="C197" s="20" t="s">
        <v>289</v>
      </c>
      <c r="D197" s="20" t="s">
        <v>303</v>
      </c>
      <c r="E197" s="20" t="s">
        <v>291</v>
      </c>
      <c r="F197" s="20">
        <v>65000</v>
      </c>
      <c r="G197" s="20">
        <v>0</v>
      </c>
      <c r="H197" s="20">
        <v>15000</v>
      </c>
      <c r="I197" s="20">
        <v>10000</v>
      </c>
      <c r="J197" s="22">
        <v>5000</v>
      </c>
      <c r="K197" s="20">
        <f t="shared" si="7"/>
        <v>95000</v>
      </c>
      <c r="L197" s="20">
        <f t="shared" si="8"/>
        <v>1140000</v>
      </c>
      <c r="M197" s="20">
        <v>240761</v>
      </c>
      <c r="N197" s="20">
        <f t="shared" si="9"/>
        <v>899239</v>
      </c>
    </row>
    <row r="198" spans="1:14" ht="18" x14ac:dyDescent="0.35">
      <c r="A198" s="18">
        <v>1178</v>
      </c>
      <c r="B198" s="20" t="s">
        <v>197</v>
      </c>
      <c r="C198" s="20" t="s">
        <v>290</v>
      </c>
      <c r="D198" s="20" t="s">
        <v>303</v>
      </c>
      <c r="E198" s="20" t="s">
        <v>291</v>
      </c>
      <c r="F198" s="20">
        <v>65000</v>
      </c>
      <c r="G198" s="20">
        <v>0</v>
      </c>
      <c r="H198" s="20">
        <v>15000</v>
      </c>
      <c r="I198" s="20">
        <v>10000</v>
      </c>
      <c r="J198" s="22">
        <v>5000</v>
      </c>
      <c r="K198" s="20">
        <f t="shared" si="7"/>
        <v>95000</v>
      </c>
      <c r="L198" s="20">
        <f t="shared" si="8"/>
        <v>1140000</v>
      </c>
      <c r="M198" s="20">
        <v>311508</v>
      </c>
      <c r="N198" s="20">
        <f t="shared" si="9"/>
        <v>828492</v>
      </c>
    </row>
    <row r="199" spans="1:14" ht="18" x14ac:dyDescent="0.35">
      <c r="A199" s="18">
        <v>1179</v>
      </c>
      <c r="B199" s="20" t="s">
        <v>198</v>
      </c>
      <c r="C199" s="20" t="s">
        <v>289</v>
      </c>
      <c r="D199" s="20" t="s">
        <v>303</v>
      </c>
      <c r="E199" s="20" t="s">
        <v>292</v>
      </c>
      <c r="F199" s="20">
        <v>65000</v>
      </c>
      <c r="G199" s="20">
        <v>10000</v>
      </c>
      <c r="H199" s="20">
        <v>15000</v>
      </c>
      <c r="I199" s="20">
        <v>10000</v>
      </c>
      <c r="J199" s="22">
        <v>5000</v>
      </c>
      <c r="K199" s="20">
        <f t="shared" si="7"/>
        <v>105000</v>
      </c>
      <c r="L199" s="20">
        <f t="shared" si="8"/>
        <v>1260000</v>
      </c>
      <c r="M199" s="20">
        <v>565584</v>
      </c>
      <c r="N199" s="20">
        <f t="shared" si="9"/>
        <v>694416</v>
      </c>
    </row>
    <row r="200" spans="1:14" ht="18" x14ac:dyDescent="0.35">
      <c r="A200" s="18">
        <v>1180</v>
      </c>
      <c r="B200" s="20" t="s">
        <v>199</v>
      </c>
      <c r="C200" s="20" t="s">
        <v>289</v>
      </c>
      <c r="D200" s="20" t="s">
        <v>303</v>
      </c>
      <c r="E200" s="20" t="s">
        <v>292</v>
      </c>
      <c r="F200" s="20">
        <v>65000</v>
      </c>
      <c r="G200" s="20">
        <v>10000</v>
      </c>
      <c r="H200" s="20">
        <v>15000</v>
      </c>
      <c r="I200" s="20">
        <v>10000</v>
      </c>
      <c r="J200" s="22">
        <v>5000</v>
      </c>
      <c r="K200" s="20">
        <f t="shared" si="7"/>
        <v>105000</v>
      </c>
      <c r="L200" s="20">
        <f t="shared" si="8"/>
        <v>1260000</v>
      </c>
      <c r="M200" s="20">
        <v>1031745</v>
      </c>
      <c r="N200" s="20">
        <f t="shared" si="9"/>
        <v>228255</v>
      </c>
    </row>
    <row r="201" spans="1:14" ht="18" x14ac:dyDescent="0.35">
      <c r="A201" s="18">
        <v>1181</v>
      </c>
      <c r="B201" s="20" t="s">
        <v>200</v>
      </c>
      <c r="C201" s="20" t="s">
        <v>289</v>
      </c>
      <c r="D201" s="20" t="s">
        <v>304</v>
      </c>
      <c r="E201" s="20" t="s">
        <v>291</v>
      </c>
      <c r="F201" s="20">
        <v>70000</v>
      </c>
      <c r="G201" s="20">
        <v>0</v>
      </c>
      <c r="H201" s="20">
        <v>15000</v>
      </c>
      <c r="I201" s="20">
        <v>10000</v>
      </c>
      <c r="J201" s="22">
        <v>5000</v>
      </c>
      <c r="K201" s="20">
        <f t="shared" si="7"/>
        <v>100000</v>
      </c>
      <c r="L201" s="20">
        <f t="shared" si="8"/>
        <v>1200000</v>
      </c>
      <c r="M201" s="20">
        <v>998134</v>
      </c>
      <c r="N201" s="20">
        <f t="shared" si="9"/>
        <v>201866</v>
      </c>
    </row>
    <row r="202" spans="1:14" ht="18" x14ac:dyDescent="0.35">
      <c r="A202" s="18">
        <v>1182</v>
      </c>
      <c r="B202" s="20" t="s">
        <v>201</v>
      </c>
      <c r="C202" s="20" t="s">
        <v>290</v>
      </c>
      <c r="D202" s="20" t="s">
        <v>304</v>
      </c>
      <c r="E202" s="20" t="s">
        <v>291</v>
      </c>
      <c r="F202" s="20">
        <v>70000</v>
      </c>
      <c r="G202" s="20">
        <v>0</v>
      </c>
      <c r="H202" s="20">
        <v>15000</v>
      </c>
      <c r="I202" s="20">
        <v>10000</v>
      </c>
      <c r="J202" s="22">
        <v>5000</v>
      </c>
      <c r="K202" s="20">
        <f t="shared" si="7"/>
        <v>100000</v>
      </c>
      <c r="L202" s="20">
        <f t="shared" si="8"/>
        <v>1200000</v>
      </c>
      <c r="M202" s="20">
        <v>1022448</v>
      </c>
      <c r="N202" s="20">
        <f t="shared" si="9"/>
        <v>177552</v>
      </c>
    </row>
    <row r="203" spans="1:14" ht="18" x14ac:dyDescent="0.35">
      <c r="A203" s="18">
        <v>1183</v>
      </c>
      <c r="B203" s="20" t="s">
        <v>202</v>
      </c>
      <c r="C203" s="20" t="s">
        <v>289</v>
      </c>
      <c r="D203" s="20" t="s">
        <v>304</v>
      </c>
      <c r="E203" s="20" t="s">
        <v>291</v>
      </c>
      <c r="F203" s="20">
        <v>70000</v>
      </c>
      <c r="G203" s="20">
        <v>0</v>
      </c>
      <c r="H203" s="20">
        <v>15000</v>
      </c>
      <c r="I203" s="20">
        <v>10000</v>
      </c>
      <c r="J203" s="22">
        <v>5000</v>
      </c>
      <c r="K203" s="20">
        <f t="shared" si="7"/>
        <v>100000</v>
      </c>
      <c r="L203" s="20">
        <f t="shared" si="8"/>
        <v>1200000</v>
      </c>
      <c r="M203" s="20">
        <v>201360</v>
      </c>
      <c r="N203" s="20">
        <f t="shared" si="9"/>
        <v>998640</v>
      </c>
    </row>
    <row r="204" spans="1:14" ht="18" x14ac:dyDescent="0.35">
      <c r="A204" s="18">
        <v>1184</v>
      </c>
      <c r="B204" s="20" t="s">
        <v>203</v>
      </c>
      <c r="C204" s="20" t="s">
        <v>290</v>
      </c>
      <c r="D204" s="20" t="s">
        <v>304</v>
      </c>
      <c r="E204" s="20" t="s">
        <v>292</v>
      </c>
      <c r="F204" s="20">
        <v>70000</v>
      </c>
      <c r="G204" s="20">
        <v>10000</v>
      </c>
      <c r="H204" s="20">
        <v>15000</v>
      </c>
      <c r="I204" s="20">
        <v>10000</v>
      </c>
      <c r="J204" s="22">
        <v>5000</v>
      </c>
      <c r="K204" s="20">
        <f t="shared" si="7"/>
        <v>110000</v>
      </c>
      <c r="L204" s="20">
        <f t="shared" si="8"/>
        <v>1320000</v>
      </c>
      <c r="M204" s="20">
        <v>1100000</v>
      </c>
      <c r="N204" s="20">
        <f t="shared" si="9"/>
        <v>220000</v>
      </c>
    </row>
    <row r="205" spans="1:14" ht="18" x14ac:dyDescent="0.35">
      <c r="A205" s="18">
        <v>1185</v>
      </c>
      <c r="B205" s="20" t="s">
        <v>204</v>
      </c>
      <c r="C205" s="20" t="s">
        <v>289</v>
      </c>
      <c r="D205" s="20" t="s">
        <v>304</v>
      </c>
      <c r="E205" s="20" t="s">
        <v>291</v>
      </c>
      <c r="F205" s="20">
        <v>70000</v>
      </c>
      <c r="G205" s="20">
        <v>0</v>
      </c>
      <c r="H205" s="20">
        <v>15000</v>
      </c>
      <c r="I205" s="20">
        <v>10000</v>
      </c>
      <c r="J205" s="22">
        <v>5000</v>
      </c>
      <c r="K205" s="20">
        <f t="shared" si="7"/>
        <v>100000</v>
      </c>
      <c r="L205" s="20">
        <f t="shared" si="8"/>
        <v>1200000</v>
      </c>
      <c r="M205" s="20">
        <v>168385</v>
      </c>
      <c r="N205" s="20">
        <f t="shared" si="9"/>
        <v>1031615</v>
      </c>
    </row>
    <row r="206" spans="1:14" ht="18" x14ac:dyDescent="0.35">
      <c r="A206" s="18">
        <v>1186</v>
      </c>
      <c r="B206" s="20" t="s">
        <v>205</v>
      </c>
      <c r="C206" s="20" t="s">
        <v>290</v>
      </c>
      <c r="D206" s="20" t="s">
        <v>304</v>
      </c>
      <c r="E206" s="20" t="s">
        <v>292</v>
      </c>
      <c r="F206" s="20">
        <v>70000</v>
      </c>
      <c r="G206" s="20">
        <v>10000</v>
      </c>
      <c r="H206" s="20">
        <v>15000</v>
      </c>
      <c r="I206" s="20">
        <v>10000</v>
      </c>
      <c r="J206" s="22">
        <v>5000</v>
      </c>
      <c r="K206" s="20">
        <f t="shared" si="7"/>
        <v>110000</v>
      </c>
      <c r="L206" s="20">
        <f t="shared" si="8"/>
        <v>1320000</v>
      </c>
      <c r="M206" s="20">
        <v>608691</v>
      </c>
      <c r="N206" s="20">
        <f t="shared" si="9"/>
        <v>711309</v>
      </c>
    </row>
    <row r="207" spans="1:14" ht="18" x14ac:dyDescent="0.35">
      <c r="A207" s="18">
        <v>1187</v>
      </c>
      <c r="B207" s="20" t="s">
        <v>206</v>
      </c>
      <c r="C207" s="20" t="s">
        <v>289</v>
      </c>
      <c r="D207" s="20" t="s">
        <v>304</v>
      </c>
      <c r="E207" s="20" t="s">
        <v>291</v>
      </c>
      <c r="F207" s="20">
        <v>70000</v>
      </c>
      <c r="G207" s="20">
        <v>0</v>
      </c>
      <c r="H207" s="20">
        <v>15000</v>
      </c>
      <c r="I207" s="20">
        <v>10000</v>
      </c>
      <c r="J207" s="22">
        <v>5000</v>
      </c>
      <c r="K207" s="20">
        <f t="shared" si="7"/>
        <v>100000</v>
      </c>
      <c r="L207" s="20">
        <f t="shared" si="8"/>
        <v>1200000</v>
      </c>
      <c r="M207" s="20">
        <v>917848</v>
      </c>
      <c r="N207" s="20">
        <f t="shared" si="9"/>
        <v>282152</v>
      </c>
    </row>
    <row r="208" spans="1:14" ht="18" x14ac:dyDescent="0.35">
      <c r="A208" s="18">
        <v>1188</v>
      </c>
      <c r="B208" s="20" t="s">
        <v>207</v>
      </c>
      <c r="C208" s="20" t="s">
        <v>290</v>
      </c>
      <c r="D208" s="20" t="s">
        <v>304</v>
      </c>
      <c r="E208" s="20" t="s">
        <v>292</v>
      </c>
      <c r="F208" s="20">
        <v>70000</v>
      </c>
      <c r="G208" s="20">
        <v>10000</v>
      </c>
      <c r="H208" s="20">
        <v>15000</v>
      </c>
      <c r="I208" s="20">
        <v>10000</v>
      </c>
      <c r="J208" s="22">
        <v>5000</v>
      </c>
      <c r="K208" s="20">
        <f t="shared" si="7"/>
        <v>110000</v>
      </c>
      <c r="L208" s="20">
        <f t="shared" si="8"/>
        <v>1320000</v>
      </c>
      <c r="M208" s="20">
        <v>942453</v>
      </c>
      <c r="N208" s="20">
        <f t="shared" si="9"/>
        <v>377547</v>
      </c>
    </row>
    <row r="209" spans="1:14" ht="18" x14ac:dyDescent="0.35">
      <c r="A209" s="18">
        <v>1189</v>
      </c>
      <c r="B209" s="20" t="s">
        <v>208</v>
      </c>
      <c r="C209" s="20" t="s">
        <v>289</v>
      </c>
      <c r="D209" s="20" t="s">
        <v>304</v>
      </c>
      <c r="E209" s="20" t="s">
        <v>292</v>
      </c>
      <c r="F209" s="20">
        <v>70000</v>
      </c>
      <c r="G209" s="20">
        <v>10000</v>
      </c>
      <c r="H209" s="20">
        <v>15000</v>
      </c>
      <c r="I209" s="20">
        <v>10000</v>
      </c>
      <c r="J209" s="22">
        <v>5000</v>
      </c>
      <c r="K209" s="20">
        <f t="shared" si="7"/>
        <v>110000</v>
      </c>
      <c r="L209" s="20">
        <f t="shared" si="8"/>
        <v>1320000</v>
      </c>
      <c r="M209" s="20">
        <v>804443</v>
      </c>
      <c r="N209" s="20">
        <f t="shared" si="9"/>
        <v>515557</v>
      </c>
    </row>
    <row r="210" spans="1:14" ht="18" x14ac:dyDescent="0.35">
      <c r="A210" s="18">
        <v>1190</v>
      </c>
      <c r="B210" s="20" t="s">
        <v>209</v>
      </c>
      <c r="C210" s="20" t="s">
        <v>290</v>
      </c>
      <c r="D210" s="20" t="s">
        <v>304</v>
      </c>
      <c r="E210" s="20" t="s">
        <v>291</v>
      </c>
      <c r="F210" s="20">
        <v>70000</v>
      </c>
      <c r="G210" s="20">
        <v>0</v>
      </c>
      <c r="H210" s="20">
        <v>15000</v>
      </c>
      <c r="I210" s="20">
        <v>10000</v>
      </c>
      <c r="J210" s="22">
        <v>5000</v>
      </c>
      <c r="K210" s="20">
        <f t="shared" si="7"/>
        <v>100000</v>
      </c>
      <c r="L210" s="20">
        <f t="shared" si="8"/>
        <v>1200000</v>
      </c>
      <c r="M210" s="20">
        <v>401018</v>
      </c>
      <c r="N210" s="20">
        <f t="shared" si="9"/>
        <v>798982</v>
      </c>
    </row>
    <row r="211" spans="1:14" ht="18" x14ac:dyDescent="0.35">
      <c r="A211" s="18">
        <v>1191</v>
      </c>
      <c r="B211" s="20" t="s">
        <v>210</v>
      </c>
      <c r="C211" s="20" t="s">
        <v>289</v>
      </c>
      <c r="D211" s="20" t="s">
        <v>304</v>
      </c>
      <c r="E211" s="20" t="s">
        <v>291</v>
      </c>
      <c r="F211" s="20">
        <v>70000</v>
      </c>
      <c r="G211" s="20">
        <v>0</v>
      </c>
      <c r="H211" s="20">
        <v>15000</v>
      </c>
      <c r="I211" s="20">
        <v>10000</v>
      </c>
      <c r="J211" s="22">
        <v>5000</v>
      </c>
      <c r="K211" s="20">
        <f t="shared" si="7"/>
        <v>100000</v>
      </c>
      <c r="L211" s="20">
        <f t="shared" si="8"/>
        <v>1200000</v>
      </c>
      <c r="M211" s="20">
        <v>1067638</v>
      </c>
      <c r="N211" s="20">
        <f t="shared" si="9"/>
        <v>132362</v>
      </c>
    </row>
    <row r="212" spans="1:14" ht="18" x14ac:dyDescent="0.35">
      <c r="A212" s="18">
        <v>1192</v>
      </c>
      <c r="B212" s="20" t="s">
        <v>211</v>
      </c>
      <c r="C212" s="20" t="s">
        <v>290</v>
      </c>
      <c r="D212" s="20" t="s">
        <v>304</v>
      </c>
      <c r="E212" s="20" t="s">
        <v>291</v>
      </c>
      <c r="F212" s="20">
        <v>70000</v>
      </c>
      <c r="G212" s="20">
        <v>0</v>
      </c>
      <c r="H212" s="20">
        <v>15000</v>
      </c>
      <c r="I212" s="20">
        <v>10000</v>
      </c>
      <c r="J212" s="22">
        <v>5000</v>
      </c>
      <c r="K212" s="20">
        <f t="shared" si="7"/>
        <v>100000</v>
      </c>
      <c r="L212" s="20">
        <f t="shared" si="8"/>
        <v>1200000</v>
      </c>
      <c r="M212" s="20">
        <v>508162</v>
      </c>
      <c r="N212" s="20">
        <f t="shared" si="9"/>
        <v>691838</v>
      </c>
    </row>
    <row r="213" spans="1:14" ht="18" x14ac:dyDescent="0.35">
      <c r="A213" s="18">
        <v>1193</v>
      </c>
      <c r="B213" s="20" t="s">
        <v>212</v>
      </c>
      <c r="C213" s="20" t="s">
        <v>289</v>
      </c>
      <c r="D213" s="20" t="s">
        <v>304</v>
      </c>
      <c r="E213" s="20" t="s">
        <v>291</v>
      </c>
      <c r="F213" s="20">
        <v>70000</v>
      </c>
      <c r="G213" s="20">
        <v>0</v>
      </c>
      <c r="H213" s="20">
        <v>15000</v>
      </c>
      <c r="I213" s="20">
        <v>10000</v>
      </c>
      <c r="J213" s="22">
        <v>5000</v>
      </c>
      <c r="K213" s="20">
        <f t="shared" si="7"/>
        <v>100000</v>
      </c>
      <c r="L213" s="20">
        <f t="shared" si="8"/>
        <v>1200000</v>
      </c>
      <c r="M213" s="20">
        <v>479394</v>
      </c>
      <c r="N213" s="20">
        <f t="shared" si="9"/>
        <v>720606</v>
      </c>
    </row>
    <row r="214" spans="1:14" ht="18" x14ac:dyDescent="0.35">
      <c r="A214" s="18">
        <v>1194</v>
      </c>
      <c r="B214" s="20" t="s">
        <v>154</v>
      </c>
      <c r="C214" s="20" t="s">
        <v>289</v>
      </c>
      <c r="D214" s="20" t="s">
        <v>304</v>
      </c>
      <c r="E214" s="20" t="s">
        <v>291</v>
      </c>
      <c r="F214" s="20">
        <v>70000</v>
      </c>
      <c r="G214" s="20">
        <v>0</v>
      </c>
      <c r="H214" s="20">
        <v>15000</v>
      </c>
      <c r="I214" s="20">
        <v>10000</v>
      </c>
      <c r="J214" s="22">
        <v>5000</v>
      </c>
      <c r="K214" s="20">
        <f t="shared" ref="K214:K277" si="10">SUM(F214:J214)</f>
        <v>100000</v>
      </c>
      <c r="L214" s="20">
        <f t="shared" ref="L214:L277" si="11">SUM(K214)*12</f>
        <v>1200000</v>
      </c>
      <c r="M214" s="20">
        <v>463450</v>
      </c>
      <c r="N214" s="20">
        <f t="shared" ref="N214:N277" si="12">L214-M214</f>
        <v>736550</v>
      </c>
    </row>
    <row r="215" spans="1:14" ht="18" x14ac:dyDescent="0.35">
      <c r="A215" s="18">
        <v>1195</v>
      </c>
      <c r="B215" s="20" t="s">
        <v>213</v>
      </c>
      <c r="C215" s="20" t="s">
        <v>290</v>
      </c>
      <c r="D215" s="20" t="s">
        <v>304</v>
      </c>
      <c r="E215" s="20" t="s">
        <v>292</v>
      </c>
      <c r="F215" s="20">
        <v>70000</v>
      </c>
      <c r="G215" s="20">
        <v>10000</v>
      </c>
      <c r="H215" s="20">
        <v>15000</v>
      </c>
      <c r="I215" s="20">
        <v>10000</v>
      </c>
      <c r="J215" s="22">
        <v>5000</v>
      </c>
      <c r="K215" s="20">
        <f t="shared" si="10"/>
        <v>110000</v>
      </c>
      <c r="L215" s="20">
        <f t="shared" si="11"/>
        <v>1320000</v>
      </c>
      <c r="M215" s="20">
        <v>580048</v>
      </c>
      <c r="N215" s="20">
        <f t="shared" si="12"/>
        <v>739952</v>
      </c>
    </row>
    <row r="216" spans="1:14" ht="18" x14ac:dyDescent="0.35">
      <c r="A216" s="18">
        <v>1196</v>
      </c>
      <c r="B216" s="20" t="s">
        <v>233</v>
      </c>
      <c r="C216" s="20" t="s">
        <v>290</v>
      </c>
      <c r="D216" s="20" t="s">
        <v>304</v>
      </c>
      <c r="E216" s="20" t="s">
        <v>292</v>
      </c>
      <c r="F216" s="20">
        <v>70000</v>
      </c>
      <c r="G216" s="20">
        <v>10000</v>
      </c>
      <c r="H216" s="20">
        <v>15000</v>
      </c>
      <c r="I216" s="20">
        <v>10000</v>
      </c>
      <c r="J216" s="22">
        <v>5000</v>
      </c>
      <c r="K216" s="20">
        <f t="shared" si="10"/>
        <v>110000</v>
      </c>
      <c r="L216" s="20">
        <f t="shared" si="11"/>
        <v>1320000</v>
      </c>
      <c r="M216" s="23">
        <v>389740</v>
      </c>
      <c r="N216" s="20">
        <f t="shared" si="12"/>
        <v>930260</v>
      </c>
    </row>
    <row r="217" spans="1:14" ht="18" x14ac:dyDescent="0.35">
      <c r="A217" s="18">
        <v>1197</v>
      </c>
      <c r="B217" s="20" t="s">
        <v>214</v>
      </c>
      <c r="C217" s="20" t="s">
        <v>290</v>
      </c>
      <c r="D217" s="20" t="s">
        <v>304</v>
      </c>
      <c r="E217" s="20" t="s">
        <v>292</v>
      </c>
      <c r="F217" s="20">
        <v>70000</v>
      </c>
      <c r="G217" s="20">
        <v>10000</v>
      </c>
      <c r="H217" s="20">
        <v>15000</v>
      </c>
      <c r="I217" s="20">
        <v>10000</v>
      </c>
      <c r="J217" s="22">
        <v>5000</v>
      </c>
      <c r="K217" s="20">
        <f t="shared" si="10"/>
        <v>110000</v>
      </c>
      <c r="L217" s="20">
        <f t="shared" si="11"/>
        <v>1320000</v>
      </c>
      <c r="M217" s="23">
        <v>990243</v>
      </c>
      <c r="N217" s="20">
        <f t="shared" si="12"/>
        <v>329757</v>
      </c>
    </row>
    <row r="218" spans="1:14" ht="18" x14ac:dyDescent="0.35">
      <c r="A218" s="18">
        <v>1198</v>
      </c>
      <c r="B218" s="20" t="s">
        <v>232</v>
      </c>
      <c r="C218" s="20" t="s">
        <v>289</v>
      </c>
      <c r="D218" s="20" t="s">
        <v>304</v>
      </c>
      <c r="E218" s="20" t="s">
        <v>292</v>
      </c>
      <c r="F218" s="20">
        <v>70000</v>
      </c>
      <c r="G218" s="20">
        <v>10000</v>
      </c>
      <c r="H218" s="20">
        <v>15000</v>
      </c>
      <c r="I218" s="20">
        <v>10000</v>
      </c>
      <c r="J218" s="22">
        <v>5000</v>
      </c>
      <c r="K218" s="20">
        <f t="shared" si="10"/>
        <v>110000</v>
      </c>
      <c r="L218" s="20">
        <f t="shared" si="11"/>
        <v>1320000</v>
      </c>
      <c r="M218" s="23">
        <v>431854</v>
      </c>
      <c r="N218" s="20">
        <f t="shared" si="12"/>
        <v>888146</v>
      </c>
    </row>
    <row r="219" spans="1:14" ht="18" x14ac:dyDescent="0.35">
      <c r="A219" s="18">
        <v>1199</v>
      </c>
      <c r="B219" s="20" t="s">
        <v>215</v>
      </c>
      <c r="C219" s="20" t="s">
        <v>290</v>
      </c>
      <c r="D219" s="20" t="s">
        <v>305</v>
      </c>
      <c r="E219" s="20" t="s">
        <v>291</v>
      </c>
      <c r="F219" s="20">
        <v>75000</v>
      </c>
      <c r="G219" s="20">
        <v>0</v>
      </c>
      <c r="H219" s="20">
        <v>15000</v>
      </c>
      <c r="I219" s="20">
        <v>10000</v>
      </c>
      <c r="J219" s="22">
        <v>5000</v>
      </c>
      <c r="K219" s="20">
        <f t="shared" si="10"/>
        <v>105000</v>
      </c>
      <c r="L219" s="20">
        <f t="shared" si="11"/>
        <v>1260000</v>
      </c>
      <c r="M219" s="23">
        <v>278440</v>
      </c>
      <c r="N219" s="20">
        <f t="shared" si="12"/>
        <v>981560</v>
      </c>
    </row>
    <row r="220" spans="1:14" ht="18" x14ac:dyDescent="0.35">
      <c r="A220" s="18">
        <v>1200</v>
      </c>
      <c r="B220" s="20" t="s">
        <v>231</v>
      </c>
      <c r="C220" s="20" t="s">
        <v>289</v>
      </c>
      <c r="D220" s="20" t="s">
        <v>305</v>
      </c>
      <c r="E220" s="20" t="s">
        <v>291</v>
      </c>
      <c r="F220" s="20">
        <v>75000</v>
      </c>
      <c r="G220" s="20">
        <v>0</v>
      </c>
      <c r="H220" s="20">
        <v>15000</v>
      </c>
      <c r="I220" s="20">
        <v>10000</v>
      </c>
      <c r="J220" s="22">
        <v>5000</v>
      </c>
      <c r="K220" s="20">
        <f t="shared" si="10"/>
        <v>105000</v>
      </c>
      <c r="L220" s="20">
        <f t="shared" si="11"/>
        <v>1260000</v>
      </c>
      <c r="M220" s="23">
        <v>457361</v>
      </c>
      <c r="N220" s="20">
        <f t="shared" si="12"/>
        <v>802639</v>
      </c>
    </row>
    <row r="221" spans="1:14" ht="18" x14ac:dyDescent="0.35">
      <c r="A221" s="18">
        <v>1201</v>
      </c>
      <c r="B221" s="20" t="s">
        <v>216</v>
      </c>
      <c r="C221" s="20" t="s">
        <v>289</v>
      </c>
      <c r="D221" s="20" t="s">
        <v>305</v>
      </c>
      <c r="E221" s="20" t="s">
        <v>291</v>
      </c>
      <c r="F221" s="20">
        <v>75000</v>
      </c>
      <c r="G221" s="20">
        <v>0</v>
      </c>
      <c r="H221" s="20">
        <v>15000</v>
      </c>
      <c r="I221" s="20">
        <v>10000</v>
      </c>
      <c r="J221" s="22">
        <v>5000</v>
      </c>
      <c r="K221" s="20">
        <f t="shared" si="10"/>
        <v>105000</v>
      </c>
      <c r="L221" s="20">
        <f t="shared" si="11"/>
        <v>1260000</v>
      </c>
      <c r="M221" s="23">
        <v>327414</v>
      </c>
      <c r="N221" s="20">
        <f t="shared" si="12"/>
        <v>932586</v>
      </c>
    </row>
    <row r="222" spans="1:14" ht="18" x14ac:dyDescent="0.35">
      <c r="A222" s="18">
        <v>1202</v>
      </c>
      <c r="B222" s="20" t="s">
        <v>230</v>
      </c>
      <c r="C222" s="20" t="s">
        <v>289</v>
      </c>
      <c r="D222" s="20" t="s">
        <v>305</v>
      </c>
      <c r="E222" s="20" t="s">
        <v>292</v>
      </c>
      <c r="F222" s="20">
        <v>75000</v>
      </c>
      <c r="G222" s="20">
        <v>10000</v>
      </c>
      <c r="H222" s="20">
        <v>15000</v>
      </c>
      <c r="I222" s="20">
        <v>10000</v>
      </c>
      <c r="J222" s="22">
        <v>5000</v>
      </c>
      <c r="K222" s="20">
        <f t="shared" si="10"/>
        <v>115000</v>
      </c>
      <c r="L222" s="20">
        <f t="shared" si="11"/>
        <v>1380000</v>
      </c>
      <c r="M222" s="23">
        <v>480367</v>
      </c>
      <c r="N222" s="20">
        <f t="shared" si="12"/>
        <v>899633</v>
      </c>
    </row>
    <row r="223" spans="1:14" ht="18" x14ac:dyDescent="0.35">
      <c r="A223" s="18">
        <v>1203</v>
      </c>
      <c r="B223" s="20" t="s">
        <v>217</v>
      </c>
      <c r="C223" s="20" t="s">
        <v>290</v>
      </c>
      <c r="D223" s="20" t="s">
        <v>305</v>
      </c>
      <c r="E223" s="20" t="s">
        <v>291</v>
      </c>
      <c r="F223" s="20">
        <v>75000</v>
      </c>
      <c r="G223" s="20">
        <v>0</v>
      </c>
      <c r="H223" s="20">
        <v>15000</v>
      </c>
      <c r="I223" s="20">
        <v>10000</v>
      </c>
      <c r="J223" s="22">
        <v>5000</v>
      </c>
      <c r="K223" s="20">
        <f t="shared" si="10"/>
        <v>105000</v>
      </c>
      <c r="L223" s="20">
        <f t="shared" si="11"/>
        <v>1260000</v>
      </c>
      <c r="M223" s="23">
        <v>562596</v>
      </c>
      <c r="N223" s="20">
        <f t="shared" si="12"/>
        <v>697404</v>
      </c>
    </row>
    <row r="224" spans="1:14" ht="18" x14ac:dyDescent="0.35">
      <c r="A224" s="18">
        <v>1204</v>
      </c>
      <c r="B224" s="20" t="s">
        <v>229</v>
      </c>
      <c r="C224" s="20" t="s">
        <v>290</v>
      </c>
      <c r="D224" s="20" t="s">
        <v>305</v>
      </c>
      <c r="E224" s="20" t="s">
        <v>292</v>
      </c>
      <c r="F224" s="20">
        <v>75000</v>
      </c>
      <c r="G224" s="20">
        <v>10000</v>
      </c>
      <c r="H224" s="20">
        <v>15000</v>
      </c>
      <c r="I224" s="20">
        <v>10000</v>
      </c>
      <c r="J224" s="22">
        <v>5000</v>
      </c>
      <c r="K224" s="20">
        <f t="shared" si="10"/>
        <v>115000</v>
      </c>
      <c r="L224" s="20">
        <f t="shared" si="11"/>
        <v>1380000</v>
      </c>
      <c r="M224" s="23">
        <v>480449</v>
      </c>
      <c r="N224" s="20">
        <f t="shared" si="12"/>
        <v>899551</v>
      </c>
    </row>
    <row r="225" spans="1:14" ht="18" x14ac:dyDescent="0.35">
      <c r="A225" s="18">
        <v>1205</v>
      </c>
      <c r="B225" s="20" t="s">
        <v>218</v>
      </c>
      <c r="C225" s="20" t="s">
        <v>290</v>
      </c>
      <c r="D225" s="20" t="s">
        <v>305</v>
      </c>
      <c r="E225" s="20" t="s">
        <v>291</v>
      </c>
      <c r="F225" s="20">
        <v>75000</v>
      </c>
      <c r="G225" s="20">
        <v>0</v>
      </c>
      <c r="H225" s="20">
        <v>15000</v>
      </c>
      <c r="I225" s="20">
        <v>10000</v>
      </c>
      <c r="J225" s="22">
        <v>5000</v>
      </c>
      <c r="K225" s="20">
        <f t="shared" si="10"/>
        <v>105000</v>
      </c>
      <c r="L225" s="20">
        <f t="shared" si="11"/>
        <v>1260000</v>
      </c>
      <c r="M225" s="23">
        <v>123864</v>
      </c>
      <c r="N225" s="20">
        <f t="shared" si="12"/>
        <v>1136136</v>
      </c>
    </row>
    <row r="226" spans="1:14" ht="18" x14ac:dyDescent="0.35">
      <c r="A226" s="18">
        <v>1206</v>
      </c>
      <c r="B226" s="20" t="s">
        <v>228</v>
      </c>
      <c r="C226" s="20" t="s">
        <v>290</v>
      </c>
      <c r="D226" s="20" t="s">
        <v>305</v>
      </c>
      <c r="E226" s="20" t="s">
        <v>291</v>
      </c>
      <c r="F226" s="20">
        <v>75000</v>
      </c>
      <c r="G226" s="20">
        <v>0</v>
      </c>
      <c r="H226" s="20">
        <v>15000</v>
      </c>
      <c r="I226" s="20">
        <v>10000</v>
      </c>
      <c r="J226" s="22">
        <v>5000</v>
      </c>
      <c r="K226" s="20">
        <f t="shared" si="10"/>
        <v>105000</v>
      </c>
      <c r="L226" s="20">
        <f t="shared" si="11"/>
        <v>1260000</v>
      </c>
      <c r="M226" s="23">
        <v>455773</v>
      </c>
      <c r="N226" s="20">
        <f t="shared" si="12"/>
        <v>804227</v>
      </c>
    </row>
    <row r="227" spans="1:14" ht="18" x14ac:dyDescent="0.35">
      <c r="A227" s="18">
        <v>1207</v>
      </c>
      <c r="B227" s="20" t="s">
        <v>219</v>
      </c>
      <c r="C227" s="20" t="s">
        <v>290</v>
      </c>
      <c r="D227" s="20" t="s">
        <v>305</v>
      </c>
      <c r="E227" s="20" t="s">
        <v>292</v>
      </c>
      <c r="F227" s="20">
        <v>75000</v>
      </c>
      <c r="G227" s="20">
        <v>10000</v>
      </c>
      <c r="H227" s="20">
        <v>15000</v>
      </c>
      <c r="I227" s="20">
        <v>10000</v>
      </c>
      <c r="J227" s="22">
        <v>5000</v>
      </c>
      <c r="K227" s="20">
        <f t="shared" si="10"/>
        <v>115000</v>
      </c>
      <c r="L227" s="20">
        <f t="shared" si="11"/>
        <v>1380000</v>
      </c>
      <c r="M227" s="23">
        <v>1268223</v>
      </c>
      <c r="N227" s="20">
        <f t="shared" si="12"/>
        <v>111777</v>
      </c>
    </row>
    <row r="228" spans="1:14" ht="18" x14ac:dyDescent="0.35">
      <c r="A228" s="18">
        <v>1208</v>
      </c>
      <c r="B228" s="20" t="s">
        <v>220</v>
      </c>
      <c r="C228" s="20" t="s">
        <v>289</v>
      </c>
      <c r="D228" s="20" t="s">
        <v>305</v>
      </c>
      <c r="E228" s="20" t="s">
        <v>292</v>
      </c>
      <c r="F228" s="20">
        <v>75000</v>
      </c>
      <c r="G228" s="20">
        <v>10000</v>
      </c>
      <c r="H228" s="20">
        <v>15000</v>
      </c>
      <c r="I228" s="20">
        <v>10000</v>
      </c>
      <c r="J228" s="22">
        <v>5000</v>
      </c>
      <c r="K228" s="20">
        <f t="shared" si="10"/>
        <v>115000</v>
      </c>
      <c r="L228" s="20">
        <f t="shared" si="11"/>
        <v>1380000</v>
      </c>
      <c r="M228" s="23">
        <v>589147</v>
      </c>
      <c r="N228" s="20">
        <f t="shared" si="12"/>
        <v>790853</v>
      </c>
    </row>
    <row r="229" spans="1:14" ht="18" x14ac:dyDescent="0.35">
      <c r="A229" s="18">
        <v>1209</v>
      </c>
      <c r="B229" s="20" t="s">
        <v>234</v>
      </c>
      <c r="C229" s="20" t="s">
        <v>290</v>
      </c>
      <c r="D229" s="20" t="s">
        <v>305</v>
      </c>
      <c r="E229" s="20" t="s">
        <v>291</v>
      </c>
      <c r="F229" s="20">
        <v>75000</v>
      </c>
      <c r="G229" s="20">
        <v>0</v>
      </c>
      <c r="H229" s="20">
        <v>15000</v>
      </c>
      <c r="I229" s="20">
        <v>10000</v>
      </c>
      <c r="J229" s="22">
        <v>5000</v>
      </c>
      <c r="K229" s="20">
        <f t="shared" si="10"/>
        <v>105000</v>
      </c>
      <c r="L229" s="20">
        <f t="shared" si="11"/>
        <v>1260000</v>
      </c>
      <c r="M229" s="23">
        <v>556991</v>
      </c>
      <c r="N229" s="20">
        <f t="shared" si="12"/>
        <v>703009</v>
      </c>
    </row>
    <row r="230" spans="1:14" ht="18" x14ac:dyDescent="0.35">
      <c r="A230" s="18">
        <v>1210</v>
      </c>
      <c r="B230" s="20" t="s">
        <v>249</v>
      </c>
      <c r="C230" s="20" t="s">
        <v>290</v>
      </c>
      <c r="D230" s="20" t="s">
        <v>305</v>
      </c>
      <c r="E230" s="20" t="s">
        <v>292</v>
      </c>
      <c r="F230" s="20">
        <v>75000</v>
      </c>
      <c r="G230" s="20">
        <v>10000</v>
      </c>
      <c r="H230" s="20">
        <v>15000</v>
      </c>
      <c r="I230" s="20">
        <v>10000</v>
      </c>
      <c r="J230" s="22">
        <v>5000</v>
      </c>
      <c r="K230" s="20">
        <f t="shared" si="10"/>
        <v>115000</v>
      </c>
      <c r="L230" s="20">
        <f t="shared" si="11"/>
        <v>1380000</v>
      </c>
      <c r="M230" s="23">
        <v>760027</v>
      </c>
      <c r="N230" s="20">
        <f t="shared" si="12"/>
        <v>619973</v>
      </c>
    </row>
    <row r="231" spans="1:14" ht="18" x14ac:dyDescent="0.35">
      <c r="A231" s="18">
        <v>1211</v>
      </c>
      <c r="B231" s="20" t="s">
        <v>235</v>
      </c>
      <c r="C231" s="20" t="s">
        <v>289</v>
      </c>
      <c r="D231" s="20" t="s">
        <v>305</v>
      </c>
      <c r="E231" s="20" t="s">
        <v>291</v>
      </c>
      <c r="F231" s="20">
        <v>75000</v>
      </c>
      <c r="G231" s="20">
        <v>0</v>
      </c>
      <c r="H231" s="20">
        <v>15000</v>
      </c>
      <c r="I231" s="20">
        <v>10000</v>
      </c>
      <c r="J231" s="22">
        <v>5000</v>
      </c>
      <c r="K231" s="20">
        <f t="shared" si="10"/>
        <v>105000</v>
      </c>
      <c r="L231" s="20">
        <f t="shared" si="11"/>
        <v>1260000</v>
      </c>
      <c r="M231" s="23">
        <v>199832</v>
      </c>
      <c r="N231" s="20">
        <f t="shared" si="12"/>
        <v>1060168</v>
      </c>
    </row>
    <row r="232" spans="1:14" ht="18" x14ac:dyDescent="0.35">
      <c r="A232" s="18">
        <v>1212</v>
      </c>
      <c r="B232" s="20" t="s">
        <v>250</v>
      </c>
      <c r="C232" s="20" t="s">
        <v>289</v>
      </c>
      <c r="D232" s="20" t="s">
        <v>305</v>
      </c>
      <c r="E232" s="20" t="s">
        <v>292</v>
      </c>
      <c r="F232" s="20">
        <v>75000</v>
      </c>
      <c r="G232" s="20">
        <v>10000</v>
      </c>
      <c r="H232" s="20">
        <v>15000</v>
      </c>
      <c r="I232" s="20">
        <v>10000</v>
      </c>
      <c r="J232" s="22">
        <v>5000</v>
      </c>
      <c r="K232" s="20">
        <f t="shared" si="10"/>
        <v>115000</v>
      </c>
      <c r="L232" s="20">
        <f t="shared" si="11"/>
        <v>1380000</v>
      </c>
      <c r="M232" s="23">
        <v>894484</v>
      </c>
      <c r="N232" s="20">
        <f t="shared" si="12"/>
        <v>485516</v>
      </c>
    </row>
    <row r="233" spans="1:14" ht="18" x14ac:dyDescent="0.35">
      <c r="A233" s="18">
        <v>1213</v>
      </c>
      <c r="B233" s="20" t="s">
        <v>236</v>
      </c>
      <c r="C233" s="20" t="s">
        <v>290</v>
      </c>
      <c r="D233" s="20" t="s">
        <v>305</v>
      </c>
      <c r="E233" s="20" t="s">
        <v>292</v>
      </c>
      <c r="F233" s="20">
        <v>75000</v>
      </c>
      <c r="G233" s="20">
        <v>10000</v>
      </c>
      <c r="H233" s="20">
        <v>15000</v>
      </c>
      <c r="I233" s="20">
        <v>10000</v>
      </c>
      <c r="J233" s="22">
        <v>5000</v>
      </c>
      <c r="K233" s="20">
        <f t="shared" si="10"/>
        <v>115000</v>
      </c>
      <c r="L233" s="20">
        <f t="shared" si="11"/>
        <v>1380000</v>
      </c>
      <c r="M233" s="23">
        <v>722523</v>
      </c>
      <c r="N233" s="20">
        <f t="shared" si="12"/>
        <v>657477</v>
      </c>
    </row>
    <row r="234" spans="1:14" ht="18" x14ac:dyDescent="0.35">
      <c r="A234" s="18">
        <v>1214</v>
      </c>
      <c r="B234" s="20" t="s">
        <v>251</v>
      </c>
      <c r="C234" s="20" t="s">
        <v>289</v>
      </c>
      <c r="D234" s="20" t="s">
        <v>305</v>
      </c>
      <c r="E234" s="20" t="s">
        <v>292</v>
      </c>
      <c r="F234" s="20">
        <v>75000</v>
      </c>
      <c r="G234" s="20">
        <v>10000</v>
      </c>
      <c r="H234" s="20">
        <v>15000</v>
      </c>
      <c r="I234" s="20">
        <v>10000</v>
      </c>
      <c r="J234" s="22">
        <v>5000</v>
      </c>
      <c r="K234" s="20">
        <f t="shared" si="10"/>
        <v>115000</v>
      </c>
      <c r="L234" s="20">
        <f t="shared" si="11"/>
        <v>1380000</v>
      </c>
      <c r="M234" s="23">
        <v>398679</v>
      </c>
      <c r="N234" s="20">
        <f t="shared" si="12"/>
        <v>981321</v>
      </c>
    </row>
    <row r="235" spans="1:14" ht="18" x14ac:dyDescent="0.35">
      <c r="A235" s="18">
        <v>1215</v>
      </c>
      <c r="B235" s="20" t="s">
        <v>237</v>
      </c>
      <c r="C235" s="20" t="s">
        <v>289</v>
      </c>
      <c r="D235" s="20" t="s">
        <v>305</v>
      </c>
      <c r="E235" s="20" t="s">
        <v>291</v>
      </c>
      <c r="F235" s="20">
        <v>75000</v>
      </c>
      <c r="G235" s="20">
        <v>0</v>
      </c>
      <c r="H235" s="20">
        <v>15000</v>
      </c>
      <c r="I235" s="20">
        <v>10000</v>
      </c>
      <c r="J235" s="22">
        <v>5000</v>
      </c>
      <c r="K235" s="20">
        <f t="shared" si="10"/>
        <v>105000</v>
      </c>
      <c r="L235" s="20">
        <f t="shared" si="11"/>
        <v>1260000</v>
      </c>
      <c r="M235" s="23">
        <v>1255000</v>
      </c>
      <c r="N235" s="20">
        <f t="shared" si="12"/>
        <v>5000</v>
      </c>
    </row>
    <row r="236" spans="1:14" ht="18" x14ac:dyDescent="0.35">
      <c r="A236" s="18">
        <v>1216</v>
      </c>
      <c r="B236" s="20" t="s">
        <v>252</v>
      </c>
      <c r="C236" s="20" t="s">
        <v>290</v>
      </c>
      <c r="D236" s="20" t="s">
        <v>305</v>
      </c>
      <c r="E236" s="20" t="s">
        <v>291</v>
      </c>
      <c r="F236" s="20">
        <v>75000</v>
      </c>
      <c r="G236" s="20">
        <v>0</v>
      </c>
      <c r="H236" s="20">
        <v>15000</v>
      </c>
      <c r="I236" s="20">
        <v>10000</v>
      </c>
      <c r="J236" s="22">
        <v>5000</v>
      </c>
      <c r="K236" s="20">
        <f t="shared" si="10"/>
        <v>105000</v>
      </c>
      <c r="L236" s="20">
        <f t="shared" si="11"/>
        <v>1260000</v>
      </c>
      <c r="M236" s="23">
        <v>144076</v>
      </c>
      <c r="N236" s="20">
        <f t="shared" si="12"/>
        <v>1115924</v>
      </c>
    </row>
    <row r="237" spans="1:14" ht="18" x14ac:dyDescent="0.35">
      <c r="A237" s="18">
        <v>1217</v>
      </c>
      <c r="B237" s="20" t="s">
        <v>238</v>
      </c>
      <c r="C237" s="20" t="s">
        <v>290</v>
      </c>
      <c r="D237" s="20" t="s">
        <v>306</v>
      </c>
      <c r="E237" s="20" t="s">
        <v>291</v>
      </c>
      <c r="F237" s="20">
        <v>80000</v>
      </c>
      <c r="G237" s="20">
        <v>0</v>
      </c>
      <c r="H237" s="20">
        <v>15000</v>
      </c>
      <c r="I237" s="20">
        <v>10000</v>
      </c>
      <c r="J237" s="22">
        <v>5000</v>
      </c>
      <c r="K237" s="20">
        <f t="shared" si="10"/>
        <v>110000</v>
      </c>
      <c r="L237" s="20">
        <f t="shared" si="11"/>
        <v>1320000</v>
      </c>
      <c r="M237" s="23">
        <v>1040038</v>
      </c>
      <c r="N237" s="20">
        <f t="shared" si="12"/>
        <v>279962</v>
      </c>
    </row>
    <row r="238" spans="1:14" ht="18" x14ac:dyDescent="0.35">
      <c r="A238" s="18">
        <v>1218</v>
      </c>
      <c r="B238" s="20" t="s">
        <v>253</v>
      </c>
      <c r="C238" s="20" t="s">
        <v>289</v>
      </c>
      <c r="D238" s="20" t="s">
        <v>306</v>
      </c>
      <c r="E238" s="20" t="s">
        <v>292</v>
      </c>
      <c r="F238" s="20">
        <v>80000</v>
      </c>
      <c r="G238" s="20">
        <v>10000</v>
      </c>
      <c r="H238" s="20">
        <v>15000</v>
      </c>
      <c r="I238" s="20">
        <v>10000</v>
      </c>
      <c r="J238" s="22">
        <v>5000</v>
      </c>
      <c r="K238" s="20">
        <f t="shared" si="10"/>
        <v>120000</v>
      </c>
      <c r="L238" s="20">
        <f t="shared" si="11"/>
        <v>1440000</v>
      </c>
      <c r="M238" s="23">
        <v>346298</v>
      </c>
      <c r="N238" s="20">
        <f t="shared" si="12"/>
        <v>1093702</v>
      </c>
    </row>
    <row r="239" spans="1:14" ht="18" x14ac:dyDescent="0.35">
      <c r="A239" s="18">
        <v>1219</v>
      </c>
      <c r="B239" s="20" t="s">
        <v>148</v>
      </c>
      <c r="C239" s="20" t="s">
        <v>289</v>
      </c>
      <c r="D239" s="20" t="s">
        <v>306</v>
      </c>
      <c r="E239" s="20" t="s">
        <v>292</v>
      </c>
      <c r="F239" s="20">
        <v>80000</v>
      </c>
      <c r="G239" s="20">
        <v>10000</v>
      </c>
      <c r="H239" s="20">
        <v>15000</v>
      </c>
      <c r="I239" s="20">
        <v>10000</v>
      </c>
      <c r="J239" s="22">
        <v>5000</v>
      </c>
      <c r="K239" s="20">
        <f t="shared" si="10"/>
        <v>120000</v>
      </c>
      <c r="L239" s="20">
        <f t="shared" si="11"/>
        <v>1440000</v>
      </c>
      <c r="M239" s="23">
        <v>581024</v>
      </c>
      <c r="N239" s="20">
        <f t="shared" si="12"/>
        <v>858976</v>
      </c>
    </row>
    <row r="240" spans="1:14" ht="18" x14ac:dyDescent="0.35">
      <c r="A240" s="18">
        <v>1220</v>
      </c>
      <c r="B240" s="20" t="s">
        <v>254</v>
      </c>
      <c r="C240" s="20" t="s">
        <v>289</v>
      </c>
      <c r="D240" s="20" t="s">
        <v>306</v>
      </c>
      <c r="E240" s="20" t="s">
        <v>291</v>
      </c>
      <c r="F240" s="20">
        <v>80000</v>
      </c>
      <c r="G240" s="20">
        <v>0</v>
      </c>
      <c r="H240" s="20">
        <v>15000</v>
      </c>
      <c r="I240" s="20">
        <v>10000</v>
      </c>
      <c r="J240" s="22">
        <v>5000</v>
      </c>
      <c r="K240" s="20">
        <f t="shared" si="10"/>
        <v>110000</v>
      </c>
      <c r="L240" s="20">
        <f t="shared" si="11"/>
        <v>1320000</v>
      </c>
      <c r="M240" s="23">
        <v>1257557</v>
      </c>
      <c r="N240" s="20">
        <f t="shared" si="12"/>
        <v>62443</v>
      </c>
    </row>
    <row r="241" spans="1:14" ht="18" x14ac:dyDescent="0.35">
      <c r="A241" s="18">
        <v>1221</v>
      </c>
      <c r="B241" s="20" t="s">
        <v>149</v>
      </c>
      <c r="C241" s="20" t="s">
        <v>290</v>
      </c>
      <c r="D241" s="20" t="s">
        <v>306</v>
      </c>
      <c r="E241" s="20" t="s">
        <v>291</v>
      </c>
      <c r="F241" s="20">
        <v>80000</v>
      </c>
      <c r="G241" s="20">
        <v>0</v>
      </c>
      <c r="H241" s="20">
        <v>15000</v>
      </c>
      <c r="I241" s="20">
        <v>10000</v>
      </c>
      <c r="J241" s="22">
        <v>5000</v>
      </c>
      <c r="K241" s="20">
        <f t="shared" si="10"/>
        <v>110000</v>
      </c>
      <c r="L241" s="20">
        <f t="shared" si="11"/>
        <v>1320000</v>
      </c>
      <c r="M241" s="23">
        <v>203000</v>
      </c>
      <c r="N241" s="20">
        <f t="shared" si="12"/>
        <v>1117000</v>
      </c>
    </row>
    <row r="242" spans="1:14" ht="18" x14ac:dyDescent="0.35">
      <c r="A242" s="18">
        <v>1222</v>
      </c>
      <c r="B242" s="20" t="s">
        <v>255</v>
      </c>
      <c r="C242" s="20" t="s">
        <v>289</v>
      </c>
      <c r="D242" s="20" t="s">
        <v>306</v>
      </c>
      <c r="E242" s="20" t="s">
        <v>292</v>
      </c>
      <c r="F242" s="20">
        <v>80000</v>
      </c>
      <c r="G242" s="20">
        <v>10000</v>
      </c>
      <c r="H242" s="20">
        <v>15000</v>
      </c>
      <c r="I242" s="20">
        <v>10000</v>
      </c>
      <c r="J242" s="22">
        <v>5000</v>
      </c>
      <c r="K242" s="20">
        <f t="shared" si="10"/>
        <v>120000</v>
      </c>
      <c r="L242" s="20">
        <f t="shared" si="11"/>
        <v>1440000</v>
      </c>
      <c r="M242" s="23">
        <v>193344</v>
      </c>
      <c r="N242" s="20">
        <f t="shared" si="12"/>
        <v>1246656</v>
      </c>
    </row>
    <row r="243" spans="1:14" ht="18" x14ac:dyDescent="0.35">
      <c r="A243" s="18">
        <v>1223</v>
      </c>
      <c r="B243" s="20" t="s">
        <v>150</v>
      </c>
      <c r="C243" s="20" t="s">
        <v>289</v>
      </c>
      <c r="D243" s="20" t="s">
        <v>306</v>
      </c>
      <c r="E243" s="20" t="s">
        <v>292</v>
      </c>
      <c r="F243" s="20">
        <v>80000</v>
      </c>
      <c r="G243" s="20">
        <v>10000</v>
      </c>
      <c r="H243" s="20">
        <v>15000</v>
      </c>
      <c r="I243" s="20">
        <v>10000</v>
      </c>
      <c r="J243" s="22">
        <v>5000</v>
      </c>
      <c r="K243" s="20">
        <f t="shared" si="10"/>
        <v>120000</v>
      </c>
      <c r="L243" s="20">
        <f t="shared" si="11"/>
        <v>1440000</v>
      </c>
      <c r="M243" s="23">
        <v>290529</v>
      </c>
      <c r="N243" s="20">
        <f t="shared" si="12"/>
        <v>1149471</v>
      </c>
    </row>
    <row r="244" spans="1:14" ht="18" x14ac:dyDescent="0.35">
      <c r="A244" s="18">
        <v>1224</v>
      </c>
      <c r="B244" s="20" t="s">
        <v>256</v>
      </c>
      <c r="C244" s="20" t="s">
        <v>289</v>
      </c>
      <c r="D244" s="20" t="s">
        <v>306</v>
      </c>
      <c r="E244" s="20" t="s">
        <v>292</v>
      </c>
      <c r="F244" s="20">
        <v>80000</v>
      </c>
      <c r="G244" s="20">
        <v>10000</v>
      </c>
      <c r="H244" s="20">
        <v>15000</v>
      </c>
      <c r="I244" s="20">
        <v>10000</v>
      </c>
      <c r="J244" s="22">
        <v>5000</v>
      </c>
      <c r="K244" s="20">
        <f t="shared" si="10"/>
        <v>120000</v>
      </c>
      <c r="L244" s="20">
        <f t="shared" si="11"/>
        <v>1440000</v>
      </c>
      <c r="M244" s="23">
        <v>752860</v>
      </c>
      <c r="N244" s="20">
        <f t="shared" si="12"/>
        <v>687140</v>
      </c>
    </row>
    <row r="245" spans="1:14" ht="18" x14ac:dyDescent="0.35">
      <c r="A245" s="18">
        <v>1225</v>
      </c>
      <c r="B245" s="20" t="s">
        <v>151</v>
      </c>
      <c r="C245" s="20" t="s">
        <v>290</v>
      </c>
      <c r="D245" s="20" t="s">
        <v>306</v>
      </c>
      <c r="E245" s="20" t="s">
        <v>291</v>
      </c>
      <c r="F245" s="20">
        <v>80000</v>
      </c>
      <c r="G245" s="20">
        <v>0</v>
      </c>
      <c r="H245" s="20">
        <v>15000</v>
      </c>
      <c r="I245" s="20">
        <v>10000</v>
      </c>
      <c r="J245" s="22">
        <v>5000</v>
      </c>
      <c r="K245" s="20">
        <f t="shared" si="10"/>
        <v>110000</v>
      </c>
      <c r="L245" s="20">
        <f t="shared" si="11"/>
        <v>1320000</v>
      </c>
      <c r="M245" s="23">
        <v>895207</v>
      </c>
      <c r="N245" s="20">
        <f t="shared" si="12"/>
        <v>424793</v>
      </c>
    </row>
    <row r="246" spans="1:14" ht="18" x14ac:dyDescent="0.35">
      <c r="A246" s="18">
        <v>1226</v>
      </c>
      <c r="B246" s="20" t="s">
        <v>257</v>
      </c>
      <c r="C246" s="20" t="s">
        <v>290</v>
      </c>
      <c r="D246" s="20" t="s">
        <v>306</v>
      </c>
      <c r="E246" s="20" t="s">
        <v>291</v>
      </c>
      <c r="F246" s="20">
        <v>80000</v>
      </c>
      <c r="G246" s="20">
        <v>0</v>
      </c>
      <c r="H246" s="20">
        <v>15000</v>
      </c>
      <c r="I246" s="20">
        <v>10000</v>
      </c>
      <c r="J246" s="22">
        <v>5000</v>
      </c>
      <c r="K246" s="20">
        <f t="shared" si="10"/>
        <v>110000</v>
      </c>
      <c r="L246" s="20">
        <f t="shared" si="11"/>
        <v>1320000</v>
      </c>
      <c r="M246" s="23">
        <v>516921</v>
      </c>
      <c r="N246" s="20">
        <f t="shared" si="12"/>
        <v>803079</v>
      </c>
    </row>
    <row r="247" spans="1:14" ht="18" x14ac:dyDescent="0.35">
      <c r="A247" s="18">
        <v>1227</v>
      </c>
      <c r="B247" s="20" t="s">
        <v>152</v>
      </c>
      <c r="C247" s="20" t="s">
        <v>289</v>
      </c>
      <c r="D247" s="20" t="s">
        <v>306</v>
      </c>
      <c r="E247" s="20" t="s">
        <v>292</v>
      </c>
      <c r="F247" s="20">
        <v>80000</v>
      </c>
      <c r="G247" s="20">
        <v>10000</v>
      </c>
      <c r="H247" s="20">
        <v>15000</v>
      </c>
      <c r="I247" s="20">
        <v>10000</v>
      </c>
      <c r="J247" s="22">
        <v>5000</v>
      </c>
      <c r="K247" s="20">
        <f t="shared" si="10"/>
        <v>120000</v>
      </c>
      <c r="L247" s="20">
        <f t="shared" si="11"/>
        <v>1440000</v>
      </c>
      <c r="M247" s="23">
        <v>203460</v>
      </c>
      <c r="N247" s="20">
        <f t="shared" si="12"/>
        <v>1236540</v>
      </c>
    </row>
    <row r="248" spans="1:14" ht="18" x14ac:dyDescent="0.35">
      <c r="A248" s="18">
        <v>1228</v>
      </c>
      <c r="B248" s="20" t="s">
        <v>258</v>
      </c>
      <c r="C248" s="20" t="s">
        <v>290</v>
      </c>
      <c r="D248" s="20" t="s">
        <v>306</v>
      </c>
      <c r="E248" s="20" t="s">
        <v>291</v>
      </c>
      <c r="F248" s="20">
        <v>80000</v>
      </c>
      <c r="G248" s="20">
        <v>0</v>
      </c>
      <c r="H248" s="20">
        <v>15000</v>
      </c>
      <c r="I248" s="20">
        <v>10000</v>
      </c>
      <c r="J248" s="22">
        <v>5000</v>
      </c>
      <c r="K248" s="20">
        <f t="shared" si="10"/>
        <v>110000</v>
      </c>
      <c r="L248" s="20">
        <f t="shared" si="11"/>
        <v>1320000</v>
      </c>
      <c r="M248" s="23">
        <v>627559</v>
      </c>
      <c r="N248" s="20">
        <f t="shared" si="12"/>
        <v>692441</v>
      </c>
    </row>
    <row r="249" spans="1:14" ht="18" x14ac:dyDescent="0.35">
      <c r="A249" s="18">
        <v>1229</v>
      </c>
      <c r="B249" s="20" t="s">
        <v>239</v>
      </c>
      <c r="C249" s="20" t="s">
        <v>290</v>
      </c>
      <c r="D249" s="20" t="s">
        <v>306</v>
      </c>
      <c r="E249" s="20" t="s">
        <v>291</v>
      </c>
      <c r="F249" s="20">
        <v>80000</v>
      </c>
      <c r="G249" s="20">
        <v>0</v>
      </c>
      <c r="H249" s="20">
        <v>15000</v>
      </c>
      <c r="I249" s="20">
        <v>10000</v>
      </c>
      <c r="J249" s="22">
        <v>5000</v>
      </c>
      <c r="K249" s="20">
        <f t="shared" si="10"/>
        <v>110000</v>
      </c>
      <c r="L249" s="20">
        <f t="shared" si="11"/>
        <v>1320000</v>
      </c>
      <c r="M249" s="23">
        <v>584402</v>
      </c>
      <c r="N249" s="20">
        <f t="shared" si="12"/>
        <v>735598</v>
      </c>
    </row>
    <row r="250" spans="1:14" ht="18" x14ac:dyDescent="0.35">
      <c r="A250" s="18">
        <v>1230</v>
      </c>
      <c r="B250" s="20" t="s">
        <v>259</v>
      </c>
      <c r="C250" s="20" t="s">
        <v>289</v>
      </c>
      <c r="D250" s="20" t="s">
        <v>306</v>
      </c>
      <c r="E250" s="20" t="s">
        <v>292</v>
      </c>
      <c r="F250" s="20">
        <v>80000</v>
      </c>
      <c r="G250" s="20">
        <v>10000</v>
      </c>
      <c r="H250" s="20">
        <v>15000</v>
      </c>
      <c r="I250" s="20">
        <v>10000</v>
      </c>
      <c r="J250" s="22">
        <v>5000</v>
      </c>
      <c r="K250" s="20">
        <f t="shared" si="10"/>
        <v>120000</v>
      </c>
      <c r="L250" s="20">
        <f t="shared" si="11"/>
        <v>1440000</v>
      </c>
      <c r="M250" s="23">
        <v>655733</v>
      </c>
      <c r="N250" s="20">
        <f t="shared" si="12"/>
        <v>784267</v>
      </c>
    </row>
    <row r="251" spans="1:14" ht="18" x14ac:dyDescent="0.35">
      <c r="A251" s="18">
        <v>1231</v>
      </c>
      <c r="B251" s="20" t="s">
        <v>240</v>
      </c>
      <c r="C251" s="20" t="s">
        <v>289</v>
      </c>
      <c r="D251" s="20" t="s">
        <v>306</v>
      </c>
      <c r="E251" s="20" t="s">
        <v>292</v>
      </c>
      <c r="F251" s="20">
        <v>80000</v>
      </c>
      <c r="G251" s="20">
        <v>10000</v>
      </c>
      <c r="H251" s="20">
        <v>15000</v>
      </c>
      <c r="I251" s="20">
        <v>10000</v>
      </c>
      <c r="J251" s="22">
        <v>5000</v>
      </c>
      <c r="K251" s="20">
        <f t="shared" si="10"/>
        <v>120000</v>
      </c>
      <c r="L251" s="20">
        <f t="shared" si="11"/>
        <v>1440000</v>
      </c>
      <c r="M251" s="23">
        <v>833077</v>
      </c>
      <c r="N251" s="20">
        <f t="shared" si="12"/>
        <v>606923</v>
      </c>
    </row>
    <row r="252" spans="1:14" ht="18" x14ac:dyDescent="0.35">
      <c r="A252" s="18">
        <v>1232</v>
      </c>
      <c r="B252" s="20" t="s">
        <v>260</v>
      </c>
      <c r="C252" s="20" t="s">
        <v>290</v>
      </c>
      <c r="D252" s="20" t="s">
        <v>306</v>
      </c>
      <c r="E252" s="20" t="s">
        <v>291</v>
      </c>
      <c r="F252" s="20">
        <v>80000</v>
      </c>
      <c r="G252" s="20">
        <v>0</v>
      </c>
      <c r="H252" s="20">
        <v>15000</v>
      </c>
      <c r="I252" s="20">
        <v>10000</v>
      </c>
      <c r="J252" s="22">
        <v>5000</v>
      </c>
      <c r="K252" s="20">
        <f t="shared" si="10"/>
        <v>110000</v>
      </c>
      <c r="L252" s="20">
        <f t="shared" si="11"/>
        <v>1320000</v>
      </c>
      <c r="M252" s="23">
        <v>957447</v>
      </c>
      <c r="N252" s="20">
        <f t="shared" si="12"/>
        <v>362553</v>
      </c>
    </row>
    <row r="253" spans="1:14" ht="18" x14ac:dyDescent="0.35">
      <c r="A253" s="18">
        <v>1233</v>
      </c>
      <c r="B253" s="20" t="s">
        <v>155</v>
      </c>
      <c r="C253" s="20" t="s">
        <v>289</v>
      </c>
      <c r="D253" s="20" t="s">
        <v>306</v>
      </c>
      <c r="E253" s="20" t="s">
        <v>292</v>
      </c>
      <c r="F253" s="20">
        <v>80000</v>
      </c>
      <c r="G253" s="20">
        <v>10000</v>
      </c>
      <c r="H253" s="20">
        <v>15000</v>
      </c>
      <c r="I253" s="20">
        <v>10000</v>
      </c>
      <c r="J253" s="22">
        <v>5000</v>
      </c>
      <c r="K253" s="20">
        <f t="shared" si="10"/>
        <v>120000</v>
      </c>
      <c r="L253" s="20">
        <f t="shared" si="11"/>
        <v>1440000</v>
      </c>
      <c r="M253" s="23">
        <v>838013</v>
      </c>
      <c r="N253" s="20">
        <f t="shared" si="12"/>
        <v>601987</v>
      </c>
    </row>
    <row r="254" spans="1:14" ht="18" x14ac:dyDescent="0.35">
      <c r="A254" s="18">
        <v>1234</v>
      </c>
      <c r="B254" s="20" t="s">
        <v>261</v>
      </c>
      <c r="C254" s="20" t="s">
        <v>289</v>
      </c>
      <c r="D254" s="20" t="s">
        <v>306</v>
      </c>
      <c r="E254" s="20" t="s">
        <v>291</v>
      </c>
      <c r="F254" s="20">
        <v>80000</v>
      </c>
      <c r="G254" s="20">
        <v>0</v>
      </c>
      <c r="H254" s="20">
        <v>15000</v>
      </c>
      <c r="I254" s="20">
        <v>10000</v>
      </c>
      <c r="J254" s="22">
        <v>5000</v>
      </c>
      <c r="K254" s="20">
        <f t="shared" si="10"/>
        <v>110000</v>
      </c>
      <c r="L254" s="20">
        <f t="shared" si="11"/>
        <v>1320000</v>
      </c>
      <c r="M254" s="23">
        <v>558606</v>
      </c>
      <c r="N254" s="20">
        <f t="shared" si="12"/>
        <v>761394</v>
      </c>
    </row>
    <row r="255" spans="1:14" ht="18" x14ac:dyDescent="0.35">
      <c r="A255" s="18">
        <v>1235</v>
      </c>
      <c r="B255" s="20" t="s">
        <v>156</v>
      </c>
      <c r="C255" s="20" t="s">
        <v>289</v>
      </c>
      <c r="D255" s="20" t="s">
        <v>307</v>
      </c>
      <c r="E255" s="20" t="s">
        <v>292</v>
      </c>
      <c r="F255" s="20">
        <v>85000</v>
      </c>
      <c r="G255" s="20">
        <v>10000</v>
      </c>
      <c r="H255" s="20">
        <v>15000</v>
      </c>
      <c r="I255" s="20">
        <v>10000</v>
      </c>
      <c r="J255" s="22">
        <v>5000</v>
      </c>
      <c r="K255" s="20">
        <f t="shared" si="10"/>
        <v>125000</v>
      </c>
      <c r="L255" s="20">
        <f t="shared" si="11"/>
        <v>1500000</v>
      </c>
      <c r="M255" s="23">
        <v>1093664</v>
      </c>
      <c r="N255" s="20">
        <f t="shared" si="12"/>
        <v>406336</v>
      </c>
    </row>
    <row r="256" spans="1:14" ht="18" x14ac:dyDescent="0.35">
      <c r="A256" s="18">
        <v>1236</v>
      </c>
      <c r="B256" s="20" t="s">
        <v>262</v>
      </c>
      <c r="C256" s="20" t="s">
        <v>289</v>
      </c>
      <c r="D256" s="20" t="s">
        <v>307</v>
      </c>
      <c r="E256" s="20" t="s">
        <v>291</v>
      </c>
      <c r="F256" s="20">
        <v>85000</v>
      </c>
      <c r="G256" s="20">
        <v>0</v>
      </c>
      <c r="H256" s="20">
        <v>15000</v>
      </c>
      <c r="I256" s="20">
        <v>10000</v>
      </c>
      <c r="J256" s="22">
        <v>5000</v>
      </c>
      <c r="K256" s="20">
        <f t="shared" si="10"/>
        <v>115000</v>
      </c>
      <c r="L256" s="20">
        <f t="shared" si="11"/>
        <v>1380000</v>
      </c>
      <c r="M256" s="23">
        <v>349910</v>
      </c>
      <c r="N256" s="20">
        <f t="shared" si="12"/>
        <v>1030090</v>
      </c>
    </row>
    <row r="257" spans="1:14" ht="18" x14ac:dyDescent="0.35">
      <c r="A257" s="18">
        <v>1237</v>
      </c>
      <c r="B257" s="20" t="s">
        <v>157</v>
      </c>
      <c r="C257" s="20" t="s">
        <v>290</v>
      </c>
      <c r="D257" s="20" t="s">
        <v>307</v>
      </c>
      <c r="E257" s="20" t="s">
        <v>292</v>
      </c>
      <c r="F257" s="20">
        <v>85000</v>
      </c>
      <c r="G257" s="20">
        <v>10000</v>
      </c>
      <c r="H257" s="20">
        <v>15000</v>
      </c>
      <c r="I257" s="20">
        <v>10000</v>
      </c>
      <c r="J257" s="22">
        <v>5000</v>
      </c>
      <c r="K257" s="20">
        <f t="shared" si="10"/>
        <v>125000</v>
      </c>
      <c r="L257" s="20">
        <f t="shared" si="11"/>
        <v>1500000</v>
      </c>
      <c r="M257" s="23">
        <v>878632</v>
      </c>
      <c r="N257" s="20">
        <f t="shared" si="12"/>
        <v>621368</v>
      </c>
    </row>
    <row r="258" spans="1:14" ht="18" x14ac:dyDescent="0.35">
      <c r="A258" s="18">
        <v>1238</v>
      </c>
      <c r="B258" s="20" t="s">
        <v>263</v>
      </c>
      <c r="C258" s="20" t="s">
        <v>289</v>
      </c>
      <c r="D258" s="20" t="s">
        <v>307</v>
      </c>
      <c r="E258" s="20" t="s">
        <v>291</v>
      </c>
      <c r="F258" s="20">
        <v>85000</v>
      </c>
      <c r="G258" s="20">
        <v>0</v>
      </c>
      <c r="H258" s="20">
        <v>15000</v>
      </c>
      <c r="I258" s="20">
        <v>10000</v>
      </c>
      <c r="J258" s="22">
        <v>5000</v>
      </c>
      <c r="K258" s="20">
        <f t="shared" si="10"/>
        <v>115000</v>
      </c>
      <c r="L258" s="20">
        <f t="shared" si="11"/>
        <v>1380000</v>
      </c>
      <c r="M258" s="23">
        <v>778531</v>
      </c>
      <c r="N258" s="20">
        <f t="shared" si="12"/>
        <v>601469</v>
      </c>
    </row>
    <row r="259" spans="1:14" ht="18" x14ac:dyDescent="0.35">
      <c r="A259" s="18">
        <v>1239</v>
      </c>
      <c r="B259" s="20" t="s">
        <v>158</v>
      </c>
      <c r="C259" s="20" t="s">
        <v>289</v>
      </c>
      <c r="D259" s="20" t="s">
        <v>307</v>
      </c>
      <c r="E259" s="20" t="s">
        <v>291</v>
      </c>
      <c r="F259" s="20">
        <v>85000</v>
      </c>
      <c r="G259" s="20">
        <v>0</v>
      </c>
      <c r="H259" s="20">
        <v>15000</v>
      </c>
      <c r="I259" s="20">
        <v>10000</v>
      </c>
      <c r="J259" s="22">
        <v>5000</v>
      </c>
      <c r="K259" s="20">
        <f t="shared" si="10"/>
        <v>115000</v>
      </c>
      <c r="L259" s="20">
        <f t="shared" si="11"/>
        <v>1380000</v>
      </c>
      <c r="M259" s="23">
        <v>622305</v>
      </c>
      <c r="N259" s="20">
        <f t="shared" si="12"/>
        <v>757695</v>
      </c>
    </row>
    <row r="260" spans="1:14" ht="18" x14ac:dyDescent="0.35">
      <c r="A260" s="18">
        <v>1240</v>
      </c>
      <c r="B260" s="20" t="s">
        <v>264</v>
      </c>
      <c r="C260" s="20" t="s">
        <v>289</v>
      </c>
      <c r="D260" s="20" t="s">
        <v>307</v>
      </c>
      <c r="E260" s="20" t="s">
        <v>291</v>
      </c>
      <c r="F260" s="20">
        <v>85000</v>
      </c>
      <c r="G260" s="20">
        <v>0</v>
      </c>
      <c r="H260" s="20">
        <v>15000</v>
      </c>
      <c r="I260" s="20">
        <v>10000</v>
      </c>
      <c r="J260" s="22">
        <v>5000</v>
      </c>
      <c r="K260" s="20">
        <f t="shared" si="10"/>
        <v>115000</v>
      </c>
      <c r="L260" s="20">
        <f t="shared" si="11"/>
        <v>1380000</v>
      </c>
      <c r="M260" s="23">
        <v>611846</v>
      </c>
      <c r="N260" s="20">
        <f t="shared" si="12"/>
        <v>768154</v>
      </c>
    </row>
    <row r="261" spans="1:14" ht="18" x14ac:dyDescent="0.35">
      <c r="A261" s="18">
        <v>1241</v>
      </c>
      <c r="B261" s="20" t="s">
        <v>241</v>
      </c>
      <c r="C261" s="20" t="s">
        <v>289</v>
      </c>
      <c r="D261" s="20" t="s">
        <v>307</v>
      </c>
      <c r="E261" s="20" t="s">
        <v>291</v>
      </c>
      <c r="F261" s="20">
        <v>85000</v>
      </c>
      <c r="G261" s="20">
        <v>0</v>
      </c>
      <c r="H261" s="20">
        <v>15000</v>
      </c>
      <c r="I261" s="20">
        <v>10000</v>
      </c>
      <c r="J261" s="22">
        <v>5000</v>
      </c>
      <c r="K261" s="20">
        <f t="shared" si="10"/>
        <v>115000</v>
      </c>
      <c r="L261" s="20">
        <f t="shared" si="11"/>
        <v>1380000</v>
      </c>
      <c r="M261" s="23">
        <v>422473</v>
      </c>
      <c r="N261" s="20">
        <f t="shared" si="12"/>
        <v>957527</v>
      </c>
    </row>
    <row r="262" spans="1:14" ht="18" x14ac:dyDescent="0.35">
      <c r="A262" s="18">
        <v>1242</v>
      </c>
      <c r="B262" s="20" t="s">
        <v>265</v>
      </c>
      <c r="C262" s="20" t="s">
        <v>289</v>
      </c>
      <c r="D262" s="20" t="s">
        <v>307</v>
      </c>
      <c r="E262" s="20" t="s">
        <v>291</v>
      </c>
      <c r="F262" s="20">
        <v>85000</v>
      </c>
      <c r="G262" s="20">
        <v>0</v>
      </c>
      <c r="H262" s="20">
        <v>15000</v>
      </c>
      <c r="I262" s="20">
        <v>10000</v>
      </c>
      <c r="J262" s="22">
        <v>5000</v>
      </c>
      <c r="K262" s="20">
        <f t="shared" si="10"/>
        <v>115000</v>
      </c>
      <c r="L262" s="20">
        <f t="shared" si="11"/>
        <v>1380000</v>
      </c>
      <c r="M262" s="23">
        <v>738240</v>
      </c>
      <c r="N262" s="20">
        <f t="shared" si="12"/>
        <v>641760</v>
      </c>
    </row>
    <row r="263" spans="1:14" ht="18" x14ac:dyDescent="0.35">
      <c r="A263" s="18">
        <v>1243</v>
      </c>
      <c r="B263" s="20" t="s">
        <v>160</v>
      </c>
      <c r="C263" s="20" t="s">
        <v>289</v>
      </c>
      <c r="D263" s="20" t="s">
        <v>307</v>
      </c>
      <c r="E263" s="20" t="s">
        <v>292</v>
      </c>
      <c r="F263" s="20">
        <v>85000</v>
      </c>
      <c r="G263" s="20">
        <v>10000</v>
      </c>
      <c r="H263" s="20">
        <v>15000</v>
      </c>
      <c r="I263" s="20">
        <v>10000</v>
      </c>
      <c r="J263" s="22">
        <v>5000</v>
      </c>
      <c r="K263" s="20">
        <f t="shared" si="10"/>
        <v>125000</v>
      </c>
      <c r="L263" s="20">
        <f t="shared" si="11"/>
        <v>1500000</v>
      </c>
      <c r="M263" s="23">
        <v>505912</v>
      </c>
      <c r="N263" s="20">
        <f t="shared" si="12"/>
        <v>994088</v>
      </c>
    </row>
    <row r="264" spans="1:14" ht="18" x14ac:dyDescent="0.35">
      <c r="A264" s="18">
        <v>1244</v>
      </c>
      <c r="B264" s="20" t="s">
        <v>266</v>
      </c>
      <c r="C264" s="20" t="s">
        <v>290</v>
      </c>
      <c r="D264" s="20" t="s">
        <v>307</v>
      </c>
      <c r="E264" s="20" t="s">
        <v>291</v>
      </c>
      <c r="F264" s="20">
        <v>85000</v>
      </c>
      <c r="G264" s="20">
        <v>0</v>
      </c>
      <c r="H264" s="20">
        <v>15000</v>
      </c>
      <c r="I264" s="20">
        <v>10000</v>
      </c>
      <c r="J264" s="22">
        <v>5000</v>
      </c>
      <c r="K264" s="20">
        <f t="shared" si="10"/>
        <v>115000</v>
      </c>
      <c r="L264" s="20">
        <f t="shared" si="11"/>
        <v>1380000</v>
      </c>
      <c r="M264" s="23">
        <v>616963</v>
      </c>
      <c r="N264" s="20">
        <f t="shared" si="12"/>
        <v>763037</v>
      </c>
    </row>
    <row r="265" spans="1:14" ht="18" x14ac:dyDescent="0.35">
      <c r="A265" s="18">
        <v>1245</v>
      </c>
      <c r="B265" s="20" t="s">
        <v>242</v>
      </c>
      <c r="C265" s="20" t="s">
        <v>290</v>
      </c>
      <c r="D265" s="20" t="s">
        <v>307</v>
      </c>
      <c r="E265" s="20" t="s">
        <v>291</v>
      </c>
      <c r="F265" s="20">
        <v>85000</v>
      </c>
      <c r="G265" s="20">
        <v>0</v>
      </c>
      <c r="H265" s="20">
        <v>15000</v>
      </c>
      <c r="I265" s="20">
        <v>10000</v>
      </c>
      <c r="J265" s="22">
        <v>5000</v>
      </c>
      <c r="K265" s="20">
        <f t="shared" si="10"/>
        <v>115000</v>
      </c>
      <c r="L265" s="20">
        <f t="shared" si="11"/>
        <v>1380000</v>
      </c>
      <c r="M265" s="23">
        <v>449553</v>
      </c>
      <c r="N265" s="20">
        <f t="shared" si="12"/>
        <v>930447</v>
      </c>
    </row>
    <row r="266" spans="1:14" ht="18" x14ac:dyDescent="0.35">
      <c r="A266" s="18">
        <v>1246</v>
      </c>
      <c r="B266" s="20" t="s">
        <v>267</v>
      </c>
      <c r="C266" s="20" t="s">
        <v>290</v>
      </c>
      <c r="D266" s="20" t="s">
        <v>307</v>
      </c>
      <c r="E266" s="20" t="s">
        <v>291</v>
      </c>
      <c r="F266" s="20">
        <v>85000</v>
      </c>
      <c r="G266" s="20">
        <v>0</v>
      </c>
      <c r="H266" s="20">
        <v>15000</v>
      </c>
      <c r="I266" s="20">
        <v>10000</v>
      </c>
      <c r="J266" s="22">
        <v>5000</v>
      </c>
      <c r="K266" s="20">
        <f t="shared" si="10"/>
        <v>115000</v>
      </c>
      <c r="L266" s="20">
        <f t="shared" si="11"/>
        <v>1380000</v>
      </c>
      <c r="M266" s="23">
        <v>755361</v>
      </c>
      <c r="N266" s="20">
        <f t="shared" si="12"/>
        <v>624639</v>
      </c>
    </row>
    <row r="267" spans="1:14" ht="18" x14ac:dyDescent="0.35">
      <c r="A267" s="18">
        <v>1247</v>
      </c>
      <c r="B267" s="20" t="s">
        <v>162</v>
      </c>
      <c r="C267" s="20" t="s">
        <v>289</v>
      </c>
      <c r="D267" s="20" t="s">
        <v>307</v>
      </c>
      <c r="E267" s="20" t="s">
        <v>292</v>
      </c>
      <c r="F267" s="20">
        <v>85000</v>
      </c>
      <c r="G267" s="20">
        <v>10000</v>
      </c>
      <c r="H267" s="20">
        <v>15000</v>
      </c>
      <c r="I267" s="20">
        <v>10000</v>
      </c>
      <c r="J267" s="22">
        <v>5000</v>
      </c>
      <c r="K267" s="20">
        <f t="shared" si="10"/>
        <v>125000</v>
      </c>
      <c r="L267" s="20">
        <f t="shared" si="11"/>
        <v>1500000</v>
      </c>
      <c r="M267" s="23">
        <v>699773</v>
      </c>
      <c r="N267" s="20">
        <f t="shared" si="12"/>
        <v>800227</v>
      </c>
    </row>
    <row r="268" spans="1:14" ht="18" x14ac:dyDescent="0.35">
      <c r="A268" s="18">
        <v>1248</v>
      </c>
      <c r="B268" s="20" t="s">
        <v>268</v>
      </c>
      <c r="C268" s="20" t="s">
        <v>290</v>
      </c>
      <c r="D268" s="20" t="s">
        <v>307</v>
      </c>
      <c r="E268" s="20" t="s">
        <v>292</v>
      </c>
      <c r="F268" s="20">
        <v>85000</v>
      </c>
      <c r="G268" s="20">
        <v>10000</v>
      </c>
      <c r="H268" s="20">
        <v>15000</v>
      </c>
      <c r="I268" s="20">
        <v>10000</v>
      </c>
      <c r="J268" s="22">
        <v>5000</v>
      </c>
      <c r="K268" s="20">
        <f t="shared" si="10"/>
        <v>125000</v>
      </c>
      <c r="L268" s="20">
        <f t="shared" si="11"/>
        <v>1500000</v>
      </c>
      <c r="M268" s="23">
        <v>1392178</v>
      </c>
      <c r="N268" s="20">
        <f t="shared" si="12"/>
        <v>107822</v>
      </c>
    </row>
    <row r="269" spans="1:14" ht="18" x14ac:dyDescent="0.35">
      <c r="A269" s="18">
        <v>1249</v>
      </c>
      <c r="B269" s="20" t="s">
        <v>243</v>
      </c>
      <c r="C269" s="20" t="s">
        <v>289</v>
      </c>
      <c r="D269" s="20" t="s">
        <v>307</v>
      </c>
      <c r="E269" s="20" t="s">
        <v>292</v>
      </c>
      <c r="F269" s="20">
        <v>85000</v>
      </c>
      <c r="G269" s="20">
        <v>10000</v>
      </c>
      <c r="H269" s="20">
        <v>15000</v>
      </c>
      <c r="I269" s="20">
        <v>10000</v>
      </c>
      <c r="J269" s="22">
        <v>5000</v>
      </c>
      <c r="K269" s="20">
        <f t="shared" si="10"/>
        <v>125000</v>
      </c>
      <c r="L269" s="20">
        <f t="shared" si="11"/>
        <v>1500000</v>
      </c>
      <c r="M269" s="23">
        <v>978502</v>
      </c>
      <c r="N269" s="20">
        <f t="shared" si="12"/>
        <v>521498</v>
      </c>
    </row>
    <row r="270" spans="1:14" ht="18" x14ac:dyDescent="0.35">
      <c r="A270" s="18">
        <v>1250</v>
      </c>
      <c r="B270" s="20" t="s">
        <v>122</v>
      </c>
      <c r="C270" s="20" t="s">
        <v>290</v>
      </c>
      <c r="D270" s="20" t="s">
        <v>307</v>
      </c>
      <c r="E270" s="20" t="s">
        <v>292</v>
      </c>
      <c r="F270" s="20">
        <v>85000</v>
      </c>
      <c r="G270" s="20">
        <v>10000</v>
      </c>
      <c r="H270" s="20">
        <v>15000</v>
      </c>
      <c r="I270" s="20">
        <v>10000</v>
      </c>
      <c r="J270" s="22">
        <v>5000</v>
      </c>
      <c r="K270" s="20">
        <f t="shared" si="10"/>
        <v>125000</v>
      </c>
      <c r="L270" s="20">
        <f t="shared" si="11"/>
        <v>1500000</v>
      </c>
      <c r="M270" s="23">
        <v>802602</v>
      </c>
      <c r="N270" s="20">
        <f t="shared" si="12"/>
        <v>697398</v>
      </c>
    </row>
    <row r="271" spans="1:14" ht="18" x14ac:dyDescent="0.35">
      <c r="A271" s="18">
        <v>1251</v>
      </c>
      <c r="B271" s="20" t="s">
        <v>164</v>
      </c>
      <c r="C271" s="20" t="s">
        <v>289</v>
      </c>
      <c r="D271" s="20" t="s">
        <v>307</v>
      </c>
      <c r="E271" s="20" t="s">
        <v>291</v>
      </c>
      <c r="F271" s="20">
        <v>85000</v>
      </c>
      <c r="G271" s="20">
        <v>0</v>
      </c>
      <c r="H271" s="20">
        <v>15000</v>
      </c>
      <c r="I271" s="20">
        <v>10000</v>
      </c>
      <c r="J271" s="22">
        <v>5000</v>
      </c>
      <c r="K271" s="20">
        <f t="shared" si="10"/>
        <v>115000</v>
      </c>
      <c r="L271" s="20">
        <f t="shared" si="11"/>
        <v>1380000</v>
      </c>
      <c r="M271" s="23">
        <v>664304</v>
      </c>
      <c r="N271" s="20">
        <f t="shared" si="12"/>
        <v>715696</v>
      </c>
    </row>
    <row r="272" spans="1:14" ht="18" x14ac:dyDescent="0.35">
      <c r="A272" s="18">
        <v>1252</v>
      </c>
      <c r="B272" s="20" t="s">
        <v>269</v>
      </c>
      <c r="C272" s="20" t="s">
        <v>290</v>
      </c>
      <c r="D272" s="20" t="s">
        <v>307</v>
      </c>
      <c r="E272" s="20" t="s">
        <v>291</v>
      </c>
      <c r="F272" s="20">
        <v>85000</v>
      </c>
      <c r="G272" s="20">
        <v>0</v>
      </c>
      <c r="H272" s="20">
        <v>15000</v>
      </c>
      <c r="I272" s="20">
        <v>10000</v>
      </c>
      <c r="J272" s="22">
        <v>5000</v>
      </c>
      <c r="K272" s="20">
        <f t="shared" si="10"/>
        <v>115000</v>
      </c>
      <c r="L272" s="20">
        <f t="shared" si="11"/>
        <v>1380000</v>
      </c>
      <c r="M272" s="23">
        <v>798227</v>
      </c>
      <c r="N272" s="20">
        <f t="shared" si="12"/>
        <v>581773</v>
      </c>
    </row>
    <row r="273" spans="1:14" ht="18" x14ac:dyDescent="0.35">
      <c r="A273" s="18">
        <v>1253</v>
      </c>
      <c r="B273" s="20" t="s">
        <v>244</v>
      </c>
      <c r="C273" s="20" t="s">
        <v>290</v>
      </c>
      <c r="D273" s="20" t="s">
        <v>308</v>
      </c>
      <c r="E273" s="20" t="s">
        <v>292</v>
      </c>
      <c r="F273" s="20">
        <v>90000</v>
      </c>
      <c r="G273" s="20">
        <v>10000</v>
      </c>
      <c r="H273" s="20">
        <v>15000</v>
      </c>
      <c r="I273" s="20">
        <v>10000</v>
      </c>
      <c r="J273" s="22">
        <v>5000</v>
      </c>
      <c r="K273" s="20">
        <f t="shared" si="10"/>
        <v>130000</v>
      </c>
      <c r="L273" s="20">
        <f t="shared" si="11"/>
        <v>1560000</v>
      </c>
      <c r="M273" s="23">
        <v>528548</v>
      </c>
      <c r="N273" s="20">
        <f t="shared" si="12"/>
        <v>1031452</v>
      </c>
    </row>
    <row r="274" spans="1:14" ht="18" x14ac:dyDescent="0.35">
      <c r="A274" s="18">
        <v>1254</v>
      </c>
      <c r="B274" s="20" t="s">
        <v>270</v>
      </c>
      <c r="C274" s="20" t="s">
        <v>290</v>
      </c>
      <c r="D274" s="20" t="s">
        <v>308</v>
      </c>
      <c r="E274" s="20" t="s">
        <v>291</v>
      </c>
      <c r="F274" s="20">
        <v>90000</v>
      </c>
      <c r="G274" s="20">
        <v>0</v>
      </c>
      <c r="H274" s="20">
        <v>15000</v>
      </c>
      <c r="I274" s="20">
        <v>10000</v>
      </c>
      <c r="J274" s="22">
        <v>5000</v>
      </c>
      <c r="K274" s="20">
        <f t="shared" si="10"/>
        <v>120000</v>
      </c>
      <c r="L274" s="20">
        <f t="shared" si="11"/>
        <v>1440000</v>
      </c>
      <c r="M274" s="23">
        <v>159558</v>
      </c>
      <c r="N274" s="20">
        <f t="shared" si="12"/>
        <v>1280442</v>
      </c>
    </row>
    <row r="275" spans="1:14" ht="18" x14ac:dyDescent="0.35">
      <c r="A275" s="18">
        <v>1255</v>
      </c>
      <c r="B275" s="20" t="s">
        <v>166</v>
      </c>
      <c r="C275" s="20" t="s">
        <v>289</v>
      </c>
      <c r="D275" s="20" t="s">
        <v>308</v>
      </c>
      <c r="E275" s="20" t="s">
        <v>291</v>
      </c>
      <c r="F275" s="20">
        <v>90000</v>
      </c>
      <c r="G275" s="20">
        <v>0</v>
      </c>
      <c r="H275" s="20">
        <v>15000</v>
      </c>
      <c r="I275" s="20">
        <v>10000</v>
      </c>
      <c r="J275" s="22">
        <v>5000</v>
      </c>
      <c r="K275" s="20">
        <f t="shared" si="10"/>
        <v>120000</v>
      </c>
      <c r="L275" s="20">
        <f t="shared" si="11"/>
        <v>1440000</v>
      </c>
      <c r="M275" s="23">
        <v>1042877</v>
      </c>
      <c r="N275" s="20">
        <f t="shared" si="12"/>
        <v>397123</v>
      </c>
    </row>
    <row r="276" spans="1:14" ht="18" x14ac:dyDescent="0.35">
      <c r="A276" s="18">
        <v>1256</v>
      </c>
      <c r="B276" s="20" t="s">
        <v>271</v>
      </c>
      <c r="C276" s="20" t="s">
        <v>290</v>
      </c>
      <c r="D276" s="20" t="s">
        <v>308</v>
      </c>
      <c r="E276" s="20" t="s">
        <v>292</v>
      </c>
      <c r="F276" s="20">
        <v>90000</v>
      </c>
      <c r="G276" s="20">
        <v>10000</v>
      </c>
      <c r="H276" s="20">
        <v>15000</v>
      </c>
      <c r="I276" s="20">
        <v>10000</v>
      </c>
      <c r="J276" s="22">
        <v>5000</v>
      </c>
      <c r="K276" s="20">
        <f t="shared" si="10"/>
        <v>130000</v>
      </c>
      <c r="L276" s="20">
        <f t="shared" si="11"/>
        <v>1560000</v>
      </c>
      <c r="M276" s="23">
        <v>1108742</v>
      </c>
      <c r="N276" s="20">
        <f t="shared" si="12"/>
        <v>451258</v>
      </c>
    </row>
    <row r="277" spans="1:14" ht="18" x14ac:dyDescent="0.35">
      <c r="A277" s="18">
        <v>1257</v>
      </c>
      <c r="B277" s="20" t="s">
        <v>245</v>
      </c>
      <c r="C277" s="20" t="s">
        <v>290</v>
      </c>
      <c r="D277" s="20" t="s">
        <v>308</v>
      </c>
      <c r="E277" s="20" t="s">
        <v>291</v>
      </c>
      <c r="F277" s="20">
        <v>90000</v>
      </c>
      <c r="G277" s="20">
        <v>0</v>
      </c>
      <c r="H277" s="20">
        <v>15000</v>
      </c>
      <c r="I277" s="20">
        <v>10000</v>
      </c>
      <c r="J277" s="22">
        <v>5000</v>
      </c>
      <c r="K277" s="20">
        <f t="shared" si="10"/>
        <v>120000</v>
      </c>
      <c r="L277" s="20">
        <f t="shared" si="11"/>
        <v>1440000</v>
      </c>
      <c r="M277" s="23">
        <v>1038955</v>
      </c>
      <c r="N277" s="20">
        <f t="shared" si="12"/>
        <v>401045</v>
      </c>
    </row>
    <row r="278" spans="1:14" ht="18" x14ac:dyDescent="0.35">
      <c r="A278" s="18">
        <v>1258</v>
      </c>
      <c r="B278" s="20" t="s">
        <v>272</v>
      </c>
      <c r="C278" s="20" t="s">
        <v>289</v>
      </c>
      <c r="D278" s="20" t="s">
        <v>308</v>
      </c>
      <c r="E278" s="20" t="s">
        <v>292</v>
      </c>
      <c r="F278" s="20">
        <v>90000</v>
      </c>
      <c r="G278" s="20">
        <v>10000</v>
      </c>
      <c r="H278" s="20">
        <v>15000</v>
      </c>
      <c r="I278" s="20">
        <v>10000</v>
      </c>
      <c r="J278" s="22">
        <v>5000</v>
      </c>
      <c r="K278" s="20">
        <f t="shared" ref="K278:K301" si="13">SUM(F278:J278)</f>
        <v>130000</v>
      </c>
      <c r="L278" s="20">
        <f t="shared" ref="L278:L301" si="14">SUM(K278)*12</f>
        <v>1560000</v>
      </c>
      <c r="M278" s="23">
        <v>379843</v>
      </c>
      <c r="N278" s="20">
        <f t="shared" ref="N278:N301" si="15">L278-M278</f>
        <v>1180157</v>
      </c>
    </row>
    <row r="279" spans="1:14" ht="18" x14ac:dyDescent="0.35">
      <c r="A279" s="18">
        <v>1259</v>
      </c>
      <c r="B279" s="20" t="s">
        <v>168</v>
      </c>
      <c r="C279" s="20" t="s">
        <v>289</v>
      </c>
      <c r="D279" s="20" t="s">
        <v>308</v>
      </c>
      <c r="E279" s="20" t="s">
        <v>291</v>
      </c>
      <c r="F279" s="20">
        <v>90000</v>
      </c>
      <c r="G279" s="20">
        <v>0</v>
      </c>
      <c r="H279" s="20">
        <v>15000</v>
      </c>
      <c r="I279" s="20">
        <v>10000</v>
      </c>
      <c r="J279" s="22">
        <v>5000</v>
      </c>
      <c r="K279" s="20">
        <f t="shared" si="13"/>
        <v>120000</v>
      </c>
      <c r="L279" s="20">
        <f t="shared" si="14"/>
        <v>1440000</v>
      </c>
      <c r="M279" s="23">
        <v>1198927</v>
      </c>
      <c r="N279" s="20">
        <f t="shared" si="15"/>
        <v>241073</v>
      </c>
    </row>
    <row r="280" spans="1:14" ht="18" x14ac:dyDescent="0.35">
      <c r="A280" s="18">
        <v>1260</v>
      </c>
      <c r="B280" s="20" t="s">
        <v>273</v>
      </c>
      <c r="C280" s="20" t="s">
        <v>290</v>
      </c>
      <c r="D280" s="20" t="s">
        <v>308</v>
      </c>
      <c r="E280" s="20" t="s">
        <v>291</v>
      </c>
      <c r="F280" s="20">
        <v>90000</v>
      </c>
      <c r="G280" s="20">
        <v>0</v>
      </c>
      <c r="H280" s="20">
        <v>15000</v>
      </c>
      <c r="I280" s="20">
        <v>10000</v>
      </c>
      <c r="J280" s="22">
        <v>5000</v>
      </c>
      <c r="K280" s="20">
        <f t="shared" si="13"/>
        <v>120000</v>
      </c>
      <c r="L280" s="20">
        <f t="shared" si="14"/>
        <v>1440000</v>
      </c>
      <c r="M280" s="23">
        <v>617477</v>
      </c>
      <c r="N280" s="20">
        <f t="shared" si="15"/>
        <v>822523</v>
      </c>
    </row>
    <row r="281" spans="1:14" ht="18" x14ac:dyDescent="0.35">
      <c r="A281" s="18">
        <v>1261</v>
      </c>
      <c r="B281" s="20" t="s">
        <v>246</v>
      </c>
      <c r="C281" s="20" t="s">
        <v>290</v>
      </c>
      <c r="D281" s="20" t="s">
        <v>308</v>
      </c>
      <c r="E281" s="20" t="s">
        <v>291</v>
      </c>
      <c r="F281" s="20">
        <v>90000</v>
      </c>
      <c r="G281" s="20">
        <v>0</v>
      </c>
      <c r="H281" s="20">
        <v>15000</v>
      </c>
      <c r="I281" s="20">
        <v>10000</v>
      </c>
      <c r="J281" s="22">
        <v>5000</v>
      </c>
      <c r="K281" s="20">
        <f t="shared" si="13"/>
        <v>120000</v>
      </c>
      <c r="L281" s="20">
        <f t="shared" si="14"/>
        <v>1440000</v>
      </c>
      <c r="M281" s="23">
        <v>196332</v>
      </c>
      <c r="N281" s="20">
        <f t="shared" si="15"/>
        <v>1243668</v>
      </c>
    </row>
    <row r="282" spans="1:14" ht="18" x14ac:dyDescent="0.35">
      <c r="A282" s="18">
        <v>1262</v>
      </c>
      <c r="B282" s="20" t="s">
        <v>274</v>
      </c>
      <c r="C282" s="20" t="s">
        <v>290</v>
      </c>
      <c r="D282" s="20" t="s">
        <v>308</v>
      </c>
      <c r="E282" s="20" t="s">
        <v>292</v>
      </c>
      <c r="F282" s="20">
        <v>90000</v>
      </c>
      <c r="G282" s="20">
        <v>10000</v>
      </c>
      <c r="H282" s="20">
        <v>15000</v>
      </c>
      <c r="I282" s="20">
        <v>10000</v>
      </c>
      <c r="J282" s="22">
        <v>5000</v>
      </c>
      <c r="K282" s="20">
        <f t="shared" si="13"/>
        <v>130000</v>
      </c>
      <c r="L282" s="20">
        <f t="shared" si="14"/>
        <v>1560000</v>
      </c>
      <c r="M282" s="23">
        <v>256482</v>
      </c>
      <c r="N282" s="20">
        <f t="shared" si="15"/>
        <v>1303518</v>
      </c>
    </row>
    <row r="283" spans="1:14" ht="18" x14ac:dyDescent="0.35">
      <c r="A283" s="18">
        <v>1263</v>
      </c>
      <c r="B283" s="20" t="s">
        <v>170</v>
      </c>
      <c r="C283" s="20" t="s">
        <v>289</v>
      </c>
      <c r="D283" s="20" t="s">
        <v>308</v>
      </c>
      <c r="E283" s="20" t="s">
        <v>292</v>
      </c>
      <c r="F283" s="20">
        <v>90000</v>
      </c>
      <c r="G283" s="20">
        <v>10000</v>
      </c>
      <c r="H283" s="20">
        <v>15000</v>
      </c>
      <c r="I283" s="20">
        <v>10000</v>
      </c>
      <c r="J283" s="22">
        <v>5000</v>
      </c>
      <c r="K283" s="20">
        <f t="shared" si="13"/>
        <v>130000</v>
      </c>
      <c r="L283" s="20">
        <f t="shared" si="14"/>
        <v>1560000</v>
      </c>
      <c r="M283" s="23">
        <v>1067095</v>
      </c>
      <c r="N283" s="20">
        <f t="shared" si="15"/>
        <v>492905</v>
      </c>
    </row>
    <row r="284" spans="1:14" ht="18" x14ac:dyDescent="0.35">
      <c r="A284" s="18">
        <v>1264</v>
      </c>
      <c r="B284" s="20" t="s">
        <v>275</v>
      </c>
      <c r="C284" s="20" t="s">
        <v>290</v>
      </c>
      <c r="D284" s="20" t="s">
        <v>308</v>
      </c>
      <c r="E284" s="20" t="s">
        <v>292</v>
      </c>
      <c r="F284" s="20">
        <v>90000</v>
      </c>
      <c r="G284" s="20">
        <v>10000</v>
      </c>
      <c r="H284" s="20">
        <v>15000</v>
      </c>
      <c r="I284" s="20">
        <v>10000</v>
      </c>
      <c r="J284" s="22">
        <v>5000</v>
      </c>
      <c r="K284" s="20">
        <f t="shared" si="13"/>
        <v>130000</v>
      </c>
      <c r="L284" s="20">
        <f t="shared" si="14"/>
        <v>1560000</v>
      </c>
      <c r="M284" s="23">
        <v>476949</v>
      </c>
      <c r="N284" s="20">
        <f t="shared" si="15"/>
        <v>1083051</v>
      </c>
    </row>
    <row r="285" spans="1:14" ht="18" x14ac:dyDescent="0.35">
      <c r="A285" s="18">
        <v>1265</v>
      </c>
      <c r="B285" s="20" t="s">
        <v>247</v>
      </c>
      <c r="C285" s="20" t="s">
        <v>290</v>
      </c>
      <c r="D285" s="20" t="s">
        <v>308</v>
      </c>
      <c r="E285" s="20" t="s">
        <v>292</v>
      </c>
      <c r="F285" s="20">
        <v>90000</v>
      </c>
      <c r="G285" s="20">
        <v>10000</v>
      </c>
      <c r="H285" s="20">
        <v>15000</v>
      </c>
      <c r="I285" s="20">
        <v>10000</v>
      </c>
      <c r="J285" s="22">
        <v>5000</v>
      </c>
      <c r="K285" s="20">
        <f t="shared" si="13"/>
        <v>130000</v>
      </c>
      <c r="L285" s="20">
        <f t="shared" si="14"/>
        <v>1560000</v>
      </c>
      <c r="M285" s="23">
        <v>295667</v>
      </c>
      <c r="N285" s="20">
        <f t="shared" si="15"/>
        <v>1264333</v>
      </c>
    </row>
    <row r="286" spans="1:14" ht="18" x14ac:dyDescent="0.35">
      <c r="A286" s="18">
        <v>1266</v>
      </c>
      <c r="B286" s="20" t="s">
        <v>276</v>
      </c>
      <c r="C286" s="20" t="s">
        <v>290</v>
      </c>
      <c r="D286" s="20" t="s">
        <v>308</v>
      </c>
      <c r="E286" s="20" t="s">
        <v>291</v>
      </c>
      <c r="F286" s="20">
        <v>90000</v>
      </c>
      <c r="G286" s="20">
        <v>0</v>
      </c>
      <c r="H286" s="20">
        <v>15000</v>
      </c>
      <c r="I286" s="20">
        <v>10000</v>
      </c>
      <c r="J286" s="22">
        <v>5000</v>
      </c>
      <c r="K286" s="20">
        <f t="shared" si="13"/>
        <v>120000</v>
      </c>
      <c r="L286" s="20">
        <f t="shared" si="14"/>
        <v>1440000</v>
      </c>
      <c r="M286" s="23">
        <v>153147</v>
      </c>
      <c r="N286" s="20">
        <f t="shared" si="15"/>
        <v>1286853</v>
      </c>
    </row>
    <row r="287" spans="1:14" ht="18" x14ac:dyDescent="0.35">
      <c r="A287" s="18">
        <v>1267</v>
      </c>
      <c r="B287" s="20" t="s">
        <v>248</v>
      </c>
      <c r="C287" s="20" t="s">
        <v>289</v>
      </c>
      <c r="D287" s="20" t="s">
        <v>308</v>
      </c>
      <c r="E287" s="20" t="s">
        <v>291</v>
      </c>
      <c r="F287" s="20">
        <v>90000</v>
      </c>
      <c r="G287" s="20">
        <v>0</v>
      </c>
      <c r="H287" s="20">
        <v>15000</v>
      </c>
      <c r="I287" s="20">
        <v>10000</v>
      </c>
      <c r="J287" s="22">
        <v>5000</v>
      </c>
      <c r="K287" s="20">
        <f t="shared" si="13"/>
        <v>120000</v>
      </c>
      <c r="L287" s="20">
        <f t="shared" si="14"/>
        <v>1440000</v>
      </c>
      <c r="M287" s="23">
        <v>457851</v>
      </c>
      <c r="N287" s="20">
        <f t="shared" si="15"/>
        <v>982149</v>
      </c>
    </row>
    <row r="288" spans="1:14" ht="18" x14ac:dyDescent="0.35">
      <c r="A288" s="18">
        <v>1268</v>
      </c>
      <c r="B288" s="20" t="s">
        <v>277</v>
      </c>
      <c r="C288" s="20" t="s">
        <v>289</v>
      </c>
      <c r="D288" s="20" t="s">
        <v>308</v>
      </c>
      <c r="E288" s="20" t="s">
        <v>291</v>
      </c>
      <c r="F288" s="20">
        <v>90000</v>
      </c>
      <c r="G288" s="20">
        <v>0</v>
      </c>
      <c r="H288" s="20">
        <v>15000</v>
      </c>
      <c r="I288" s="20">
        <v>10000</v>
      </c>
      <c r="J288" s="22">
        <v>5000</v>
      </c>
      <c r="K288" s="20">
        <f t="shared" si="13"/>
        <v>120000</v>
      </c>
      <c r="L288" s="20">
        <f t="shared" si="14"/>
        <v>1440000</v>
      </c>
      <c r="M288" s="23">
        <v>789252</v>
      </c>
      <c r="N288" s="20">
        <f t="shared" si="15"/>
        <v>650748</v>
      </c>
    </row>
    <row r="289" spans="1:21" ht="18" x14ac:dyDescent="0.35">
      <c r="A289" s="18">
        <v>1269</v>
      </c>
      <c r="B289" s="20" t="s">
        <v>173</v>
      </c>
      <c r="C289" s="20" t="s">
        <v>289</v>
      </c>
      <c r="D289" s="20" t="s">
        <v>308</v>
      </c>
      <c r="E289" s="20" t="s">
        <v>291</v>
      </c>
      <c r="F289" s="20">
        <v>90000</v>
      </c>
      <c r="G289" s="20">
        <v>0</v>
      </c>
      <c r="H289" s="20">
        <v>15000</v>
      </c>
      <c r="I289" s="20">
        <v>10000</v>
      </c>
      <c r="J289" s="22">
        <v>5000</v>
      </c>
      <c r="K289" s="20">
        <f t="shared" si="13"/>
        <v>120000</v>
      </c>
      <c r="L289" s="20">
        <f t="shared" si="14"/>
        <v>1440000</v>
      </c>
      <c r="M289" s="23">
        <v>364902</v>
      </c>
      <c r="N289" s="20">
        <f t="shared" si="15"/>
        <v>1075098</v>
      </c>
    </row>
    <row r="290" spans="1:21" ht="18" x14ac:dyDescent="0.35">
      <c r="A290" s="18">
        <v>1270</v>
      </c>
      <c r="B290" s="20" t="s">
        <v>174</v>
      </c>
      <c r="C290" s="20" t="s">
        <v>289</v>
      </c>
      <c r="D290" s="20" t="s">
        <v>308</v>
      </c>
      <c r="E290" s="20" t="s">
        <v>292</v>
      </c>
      <c r="F290" s="20">
        <v>90000</v>
      </c>
      <c r="G290" s="20">
        <v>10000</v>
      </c>
      <c r="H290" s="20">
        <v>15000</v>
      </c>
      <c r="I290" s="20">
        <v>10000</v>
      </c>
      <c r="J290" s="22">
        <v>5000</v>
      </c>
      <c r="K290" s="20">
        <f t="shared" si="13"/>
        <v>130000</v>
      </c>
      <c r="L290" s="20">
        <f t="shared" si="14"/>
        <v>1560000</v>
      </c>
      <c r="M290" s="23">
        <v>427676</v>
      </c>
      <c r="N290" s="20">
        <f t="shared" si="15"/>
        <v>1132324</v>
      </c>
    </row>
    <row r="291" spans="1:21" ht="18" x14ac:dyDescent="0.35">
      <c r="A291" s="18">
        <v>1271</v>
      </c>
      <c r="B291" s="20" t="s">
        <v>278</v>
      </c>
      <c r="C291" s="20" t="s">
        <v>289</v>
      </c>
      <c r="D291" s="20" t="s">
        <v>303</v>
      </c>
      <c r="E291" s="20" t="s">
        <v>291</v>
      </c>
      <c r="F291" s="20">
        <v>65000</v>
      </c>
      <c r="G291" s="20">
        <v>0</v>
      </c>
      <c r="H291" s="20">
        <v>15000</v>
      </c>
      <c r="I291" s="20">
        <v>10000</v>
      </c>
      <c r="J291" s="22">
        <v>5000</v>
      </c>
      <c r="K291" s="20">
        <f t="shared" si="13"/>
        <v>95000</v>
      </c>
      <c r="L291" s="20">
        <f t="shared" si="14"/>
        <v>1140000</v>
      </c>
      <c r="M291" s="23">
        <v>461889</v>
      </c>
      <c r="N291" s="20">
        <f t="shared" si="15"/>
        <v>678111</v>
      </c>
    </row>
    <row r="292" spans="1:21" ht="18" x14ac:dyDescent="0.35">
      <c r="A292" s="18">
        <v>1272</v>
      </c>
      <c r="B292" s="20" t="s">
        <v>279</v>
      </c>
      <c r="C292" s="20" t="s">
        <v>289</v>
      </c>
      <c r="D292" s="20" t="s">
        <v>304</v>
      </c>
      <c r="E292" s="20" t="s">
        <v>291</v>
      </c>
      <c r="F292" s="20">
        <v>70000</v>
      </c>
      <c r="G292" s="20">
        <v>0</v>
      </c>
      <c r="H292" s="20">
        <v>15000</v>
      </c>
      <c r="I292" s="20">
        <v>10000</v>
      </c>
      <c r="J292" s="22">
        <v>5000</v>
      </c>
      <c r="K292" s="20">
        <f t="shared" si="13"/>
        <v>100000</v>
      </c>
      <c r="L292" s="20">
        <f t="shared" si="14"/>
        <v>1200000</v>
      </c>
      <c r="M292" s="23">
        <v>882808</v>
      </c>
      <c r="N292" s="20">
        <f t="shared" si="15"/>
        <v>317192</v>
      </c>
    </row>
    <row r="293" spans="1:21" ht="18" x14ac:dyDescent="0.35">
      <c r="A293" s="18">
        <v>1273</v>
      </c>
      <c r="B293" s="20" t="s">
        <v>280</v>
      </c>
      <c r="C293" s="20" t="s">
        <v>289</v>
      </c>
      <c r="D293" s="20" t="s">
        <v>307</v>
      </c>
      <c r="E293" s="20" t="s">
        <v>292</v>
      </c>
      <c r="F293" s="20">
        <v>85000</v>
      </c>
      <c r="G293" s="20">
        <v>10000</v>
      </c>
      <c r="H293" s="20">
        <v>15000</v>
      </c>
      <c r="I293" s="20">
        <v>10000</v>
      </c>
      <c r="J293" s="22">
        <v>5000</v>
      </c>
      <c r="K293" s="20">
        <f t="shared" si="13"/>
        <v>125000</v>
      </c>
      <c r="L293" s="20">
        <f t="shared" si="14"/>
        <v>1500000</v>
      </c>
      <c r="M293" s="23">
        <v>953312</v>
      </c>
      <c r="N293" s="20">
        <f t="shared" si="15"/>
        <v>546688</v>
      </c>
    </row>
    <row r="294" spans="1:21" ht="18" x14ac:dyDescent="0.35">
      <c r="A294" s="18">
        <v>1274</v>
      </c>
      <c r="B294" s="20" t="s">
        <v>281</v>
      </c>
      <c r="C294" s="20" t="s">
        <v>289</v>
      </c>
      <c r="D294" s="20" t="s">
        <v>308</v>
      </c>
      <c r="E294" s="20" t="s">
        <v>291</v>
      </c>
      <c r="F294" s="20">
        <v>90000</v>
      </c>
      <c r="G294" s="20">
        <v>0</v>
      </c>
      <c r="H294" s="20">
        <v>15000</v>
      </c>
      <c r="I294" s="20">
        <v>10000</v>
      </c>
      <c r="J294" s="22">
        <v>5000</v>
      </c>
      <c r="K294" s="20">
        <f t="shared" si="13"/>
        <v>120000</v>
      </c>
      <c r="L294" s="20">
        <f t="shared" si="14"/>
        <v>1440000</v>
      </c>
      <c r="M294" s="23">
        <v>351813</v>
      </c>
      <c r="N294" s="20">
        <f t="shared" si="15"/>
        <v>1088187</v>
      </c>
    </row>
    <row r="295" spans="1:21" ht="18" x14ac:dyDescent="0.35">
      <c r="A295" s="18">
        <v>1275</v>
      </c>
      <c r="B295" s="20" t="s">
        <v>282</v>
      </c>
      <c r="C295" s="20" t="s">
        <v>289</v>
      </c>
      <c r="D295" s="20" t="s">
        <v>299</v>
      </c>
      <c r="E295" s="20" t="s">
        <v>291</v>
      </c>
      <c r="F295" s="20">
        <v>45000</v>
      </c>
      <c r="G295" s="20">
        <v>0</v>
      </c>
      <c r="H295" s="20">
        <v>15000</v>
      </c>
      <c r="I295" s="20">
        <v>10000</v>
      </c>
      <c r="J295" s="22">
        <v>5000</v>
      </c>
      <c r="K295" s="20">
        <f t="shared" si="13"/>
        <v>75000</v>
      </c>
      <c r="L295" s="20">
        <f t="shared" si="14"/>
        <v>900000</v>
      </c>
      <c r="M295" s="23">
        <v>178864</v>
      </c>
      <c r="N295" s="20">
        <f t="shared" si="15"/>
        <v>721136</v>
      </c>
    </row>
    <row r="296" spans="1:21" ht="18" x14ac:dyDescent="0.35">
      <c r="A296" s="18">
        <v>1276</v>
      </c>
      <c r="B296" s="20" t="s">
        <v>283</v>
      </c>
      <c r="C296" s="20" t="s">
        <v>289</v>
      </c>
      <c r="D296" s="20" t="s">
        <v>306</v>
      </c>
      <c r="E296" s="20" t="s">
        <v>292</v>
      </c>
      <c r="F296" s="20">
        <v>80000</v>
      </c>
      <c r="G296" s="20">
        <v>10000</v>
      </c>
      <c r="H296" s="20">
        <v>15000</v>
      </c>
      <c r="I296" s="20">
        <v>10000</v>
      </c>
      <c r="J296" s="22">
        <v>5000</v>
      </c>
      <c r="K296" s="20">
        <f t="shared" si="13"/>
        <v>120000</v>
      </c>
      <c r="L296" s="20">
        <f t="shared" si="14"/>
        <v>1440000</v>
      </c>
      <c r="M296" s="23">
        <v>612803</v>
      </c>
      <c r="N296" s="20">
        <f t="shared" si="15"/>
        <v>827197</v>
      </c>
    </row>
    <row r="297" spans="1:21" ht="18" x14ac:dyDescent="0.35">
      <c r="A297" s="18">
        <v>1277</v>
      </c>
      <c r="B297" s="20" t="s">
        <v>284</v>
      </c>
      <c r="C297" s="20" t="s">
        <v>290</v>
      </c>
      <c r="D297" s="20" t="s">
        <v>302</v>
      </c>
      <c r="E297" s="20" t="s">
        <v>292</v>
      </c>
      <c r="F297" s="20">
        <v>60000</v>
      </c>
      <c r="G297" s="20">
        <v>10000</v>
      </c>
      <c r="H297" s="20">
        <v>15000</v>
      </c>
      <c r="I297" s="20">
        <v>10000</v>
      </c>
      <c r="J297" s="22">
        <v>5000</v>
      </c>
      <c r="K297" s="20">
        <f t="shared" si="13"/>
        <v>100000</v>
      </c>
      <c r="L297" s="20">
        <f t="shared" si="14"/>
        <v>1200000</v>
      </c>
      <c r="M297" s="23">
        <v>454293</v>
      </c>
      <c r="N297" s="20">
        <f t="shared" si="15"/>
        <v>745707</v>
      </c>
    </row>
    <row r="298" spans="1:21" ht="18" x14ac:dyDescent="0.35">
      <c r="A298" s="18">
        <v>1278</v>
      </c>
      <c r="B298" s="20" t="s">
        <v>285</v>
      </c>
      <c r="C298" s="20" t="s">
        <v>290</v>
      </c>
      <c r="D298" s="20" t="s">
        <v>322</v>
      </c>
      <c r="E298" s="20" t="s">
        <v>291</v>
      </c>
      <c r="F298" s="20">
        <v>120000</v>
      </c>
      <c r="G298" s="20">
        <v>0</v>
      </c>
      <c r="H298" s="20">
        <v>20000</v>
      </c>
      <c r="I298" s="20">
        <v>10000</v>
      </c>
      <c r="J298" s="22">
        <v>10000</v>
      </c>
      <c r="K298" s="20">
        <f t="shared" si="13"/>
        <v>160000</v>
      </c>
      <c r="L298" s="20">
        <f t="shared" si="14"/>
        <v>1920000</v>
      </c>
      <c r="M298" s="23">
        <v>388687</v>
      </c>
      <c r="N298" s="20">
        <f t="shared" si="15"/>
        <v>1531313</v>
      </c>
    </row>
    <row r="299" spans="1:21" ht="18" x14ac:dyDescent="0.35">
      <c r="A299" s="18">
        <v>1279</v>
      </c>
      <c r="B299" s="20" t="s">
        <v>286</v>
      </c>
      <c r="C299" s="20" t="s">
        <v>290</v>
      </c>
      <c r="D299" s="20" t="s">
        <v>321</v>
      </c>
      <c r="E299" s="20" t="s">
        <v>292</v>
      </c>
      <c r="F299" s="20">
        <v>150000</v>
      </c>
      <c r="G299" s="20">
        <v>10000</v>
      </c>
      <c r="H299" s="20">
        <v>25000</v>
      </c>
      <c r="I299" s="20">
        <v>10000</v>
      </c>
      <c r="J299" s="22">
        <v>15000</v>
      </c>
      <c r="K299" s="20">
        <f t="shared" si="13"/>
        <v>210000</v>
      </c>
      <c r="L299" s="20">
        <f t="shared" si="14"/>
        <v>2520000</v>
      </c>
      <c r="M299" s="23">
        <v>1033836</v>
      </c>
      <c r="N299" s="20">
        <f t="shared" si="15"/>
        <v>1486164</v>
      </c>
    </row>
    <row r="300" spans="1:21" ht="18" x14ac:dyDescent="0.35">
      <c r="A300" s="18">
        <v>1280</v>
      </c>
      <c r="B300" s="20" t="s">
        <v>287</v>
      </c>
      <c r="C300" s="20" t="s">
        <v>290</v>
      </c>
      <c r="D300" s="20" t="s">
        <v>300</v>
      </c>
      <c r="E300" s="20" t="s">
        <v>291</v>
      </c>
      <c r="F300" s="20">
        <v>50000</v>
      </c>
      <c r="G300" s="20">
        <v>0</v>
      </c>
      <c r="H300" s="20">
        <v>15000</v>
      </c>
      <c r="I300" s="20">
        <v>10000</v>
      </c>
      <c r="J300" s="22">
        <v>5000</v>
      </c>
      <c r="K300" s="20">
        <f t="shared" si="13"/>
        <v>80000</v>
      </c>
      <c r="L300" s="20">
        <f t="shared" si="14"/>
        <v>960000</v>
      </c>
      <c r="M300" s="23">
        <v>554453</v>
      </c>
      <c r="N300" s="20">
        <f t="shared" si="15"/>
        <v>405547</v>
      </c>
      <c r="U300" s="28"/>
    </row>
    <row r="301" spans="1:21" ht="18" x14ac:dyDescent="0.35">
      <c r="A301" s="18">
        <v>1290</v>
      </c>
      <c r="B301" s="20" t="s">
        <v>288</v>
      </c>
      <c r="C301" s="20" t="s">
        <v>289</v>
      </c>
      <c r="D301" s="20" t="s">
        <v>297</v>
      </c>
      <c r="E301" s="20" t="s">
        <v>292</v>
      </c>
      <c r="F301" s="20">
        <v>30000</v>
      </c>
      <c r="G301" s="20">
        <v>10000</v>
      </c>
      <c r="H301" s="20">
        <v>15000</v>
      </c>
      <c r="I301" s="20">
        <v>10000</v>
      </c>
      <c r="J301" s="22">
        <v>5000</v>
      </c>
      <c r="K301" s="20">
        <f t="shared" si="13"/>
        <v>70000</v>
      </c>
      <c r="L301" s="20">
        <f t="shared" si="14"/>
        <v>840000</v>
      </c>
      <c r="M301" s="23">
        <v>113233</v>
      </c>
      <c r="N301" s="20">
        <f t="shared" si="15"/>
        <v>726767</v>
      </c>
    </row>
    <row r="302" spans="1:21" ht="21" x14ac:dyDescent="0.4">
      <c r="A302" s="8"/>
      <c r="B302" s="33"/>
      <c r="C302" s="33"/>
      <c r="D302" s="33"/>
      <c r="E302" s="33"/>
      <c r="F302" s="9"/>
      <c r="G302" s="33"/>
      <c r="H302" s="33"/>
      <c r="I302" s="34"/>
      <c r="K302" s="33"/>
      <c r="L302" s="33"/>
      <c r="M302" s="31">
        <f>SUM(M21:M301)</f>
        <v>166242025</v>
      </c>
      <c r="N302" s="32">
        <f>SUM(N21:N301)</f>
        <v>194177975</v>
      </c>
    </row>
    <row r="303" spans="1:21" ht="18" customHeight="1" x14ac:dyDescent="0.3">
      <c r="A303" s="30" t="s">
        <v>317</v>
      </c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</row>
    <row r="304" spans="1:21" ht="18" customHeight="1" x14ac:dyDescent="0.3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</row>
    <row r="305" spans="1:6" ht="18" x14ac:dyDescent="0.35">
      <c r="A305" s="8"/>
      <c r="F305" s="9"/>
    </row>
    <row r="306" spans="1:6" ht="37.799999999999997" customHeight="1" x14ac:dyDescent="0.3">
      <c r="A306" s="24" t="s">
        <v>294</v>
      </c>
      <c r="B306" s="24"/>
      <c r="C306" s="11"/>
      <c r="D306" s="11"/>
      <c r="E306" s="11"/>
      <c r="F306" s="11"/>
    </row>
    <row r="307" spans="1:6" ht="23.4" customHeight="1" x14ac:dyDescent="0.3"/>
    <row r="308" spans="1:6" ht="27" customHeight="1" x14ac:dyDescent="0.3"/>
    <row r="309" spans="1:6" ht="18" x14ac:dyDescent="0.35">
      <c r="A309" s="8"/>
    </row>
    <row r="310" spans="1:6" ht="24" customHeight="1" x14ac:dyDescent="0.35">
      <c r="A310" s="8"/>
      <c r="B310" s="13" t="s">
        <v>294</v>
      </c>
      <c r="C310" s="11" t="s">
        <v>318</v>
      </c>
    </row>
    <row r="311" spans="1:6" ht="22.8" customHeight="1" x14ac:dyDescent="0.35">
      <c r="A311" s="8"/>
      <c r="B311" s="12" t="s">
        <v>289</v>
      </c>
      <c r="C311" s="16">
        <v>158</v>
      </c>
    </row>
    <row r="312" spans="1:6" ht="25.2" customHeight="1" x14ac:dyDescent="0.35">
      <c r="A312" s="8"/>
      <c r="B312" s="12" t="s">
        <v>290</v>
      </c>
      <c r="C312" s="16">
        <v>123</v>
      </c>
    </row>
    <row r="313" spans="1:6" ht="18" x14ac:dyDescent="0.35">
      <c r="A313" s="8"/>
    </row>
    <row r="314" spans="1:6" ht="18" x14ac:dyDescent="0.35">
      <c r="A314" s="8"/>
    </row>
    <row r="315" spans="1:6" ht="18" x14ac:dyDescent="0.35">
      <c r="A315" s="8"/>
    </row>
    <row r="316" spans="1:6" ht="18" x14ac:dyDescent="0.35">
      <c r="A316" s="8"/>
    </row>
    <row r="317" spans="1:6" ht="18" x14ac:dyDescent="0.35">
      <c r="A317" s="8"/>
    </row>
    <row r="318" spans="1:6" ht="18" x14ac:dyDescent="0.35">
      <c r="A318" s="8"/>
    </row>
    <row r="319" spans="1:6" ht="18" x14ac:dyDescent="0.35">
      <c r="A319" s="8"/>
    </row>
    <row r="320" spans="1:6" ht="18" x14ac:dyDescent="0.35">
      <c r="A320" s="8"/>
    </row>
    <row r="321" spans="1:3" ht="18" x14ac:dyDescent="0.35">
      <c r="A321" s="8"/>
    </row>
    <row r="322" spans="1:3" ht="36.6" customHeight="1" x14ac:dyDescent="0.3">
      <c r="A322" s="24" t="s">
        <v>319</v>
      </c>
      <c r="B322" s="24"/>
    </row>
    <row r="323" spans="1:3" ht="18" x14ac:dyDescent="0.35">
      <c r="A323" s="8"/>
    </row>
    <row r="324" spans="1:3" ht="33" customHeight="1" x14ac:dyDescent="0.3"/>
    <row r="325" spans="1:3" ht="33" customHeight="1" x14ac:dyDescent="0.3"/>
    <row r="326" spans="1:3" ht="32.4" customHeight="1" x14ac:dyDescent="0.3"/>
    <row r="327" spans="1:3" ht="18" x14ac:dyDescent="0.35">
      <c r="A327" s="8"/>
    </row>
    <row r="328" spans="1:3" ht="18" x14ac:dyDescent="0.35">
      <c r="A328" s="8"/>
    </row>
    <row r="329" spans="1:3" ht="29.4" customHeight="1" x14ac:dyDescent="0.35">
      <c r="A329" s="8"/>
      <c r="B329" s="15" t="s">
        <v>293</v>
      </c>
      <c r="C329" s="14" t="s">
        <v>320</v>
      </c>
    </row>
    <row r="330" spans="1:3" ht="30" customHeight="1" x14ac:dyDescent="0.35">
      <c r="A330" s="8"/>
      <c r="B330" s="12" t="s">
        <v>291</v>
      </c>
      <c r="C330" s="16">
        <v>152</v>
      </c>
    </row>
    <row r="331" spans="1:3" ht="39.6" customHeight="1" x14ac:dyDescent="0.35">
      <c r="A331" s="8"/>
      <c r="B331" s="12" t="s">
        <v>292</v>
      </c>
      <c r="C331" s="16">
        <v>129</v>
      </c>
    </row>
    <row r="332" spans="1:3" ht="18" x14ac:dyDescent="0.35">
      <c r="A332" s="8"/>
    </row>
    <row r="333" spans="1:3" ht="18" x14ac:dyDescent="0.35">
      <c r="A333" s="8"/>
    </row>
    <row r="334" spans="1:3" ht="18" x14ac:dyDescent="0.35">
      <c r="A334" s="8"/>
    </row>
    <row r="335" spans="1:3" ht="18" x14ac:dyDescent="0.35">
      <c r="A335" s="8"/>
    </row>
    <row r="344" spans="1:2" x14ac:dyDescent="0.3">
      <c r="A344" s="24" t="s">
        <v>16</v>
      </c>
      <c r="B344" s="24"/>
    </row>
    <row r="345" spans="1:2" x14ac:dyDescent="0.3">
      <c r="A345" s="24"/>
      <c r="B345" s="24"/>
    </row>
    <row r="346" spans="1:2" x14ac:dyDescent="0.3">
      <c r="A346" s="10"/>
    </row>
    <row r="347" spans="1:2" x14ac:dyDescent="0.3">
      <c r="A347" s="10"/>
    </row>
    <row r="385" spans="1:2" x14ac:dyDescent="0.3">
      <c r="A385" s="25" t="s">
        <v>25</v>
      </c>
      <c r="B385" s="25"/>
    </row>
    <row r="386" spans="1:2" x14ac:dyDescent="0.3">
      <c r="A386" s="25"/>
      <c r="B386" s="25"/>
    </row>
    <row r="414" spans="2:2" x14ac:dyDescent="0.3">
      <c r="B414" s="10"/>
    </row>
    <row r="415" spans="2:2" x14ac:dyDescent="0.3">
      <c r="B415" s="10"/>
    </row>
    <row r="426" spans="1:2" x14ac:dyDescent="0.3">
      <c r="A426" s="27"/>
      <c r="B426" s="27"/>
    </row>
    <row r="427" spans="1:2" x14ac:dyDescent="0.3">
      <c r="A427" s="27"/>
      <c r="B427" s="27"/>
    </row>
  </sheetData>
  <mergeCells count="7">
    <mergeCell ref="A426:B427"/>
    <mergeCell ref="A344:B345"/>
    <mergeCell ref="A385:B386"/>
    <mergeCell ref="A19:H19"/>
    <mergeCell ref="A303:N304"/>
    <mergeCell ref="A306:B306"/>
    <mergeCell ref="A322:B322"/>
  </mergeCell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2026-01-02T06:34:28Z</dcterms:created>
  <dcterms:modified xsi:type="dcterms:W3CDTF">2026-01-03T08:27:27Z</dcterms:modified>
</cp:coreProperties>
</file>